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haw\Downloads\"/>
    </mc:Choice>
  </mc:AlternateContent>
  <xr:revisionPtr revIDLastSave="0" documentId="13_ncr:1_{18DDAA90-3D10-4499-92FC-2100721F4E05}" xr6:coauthVersionLast="47" xr6:coauthVersionMax="47" xr10:uidLastSave="{00000000-0000-0000-0000-000000000000}"/>
  <bookViews>
    <workbookView xWindow="-110" yWindow="-110" windowWidth="19420" windowHeight="11500" xr2:uid="{17DF79D1-4300-47EA-943B-E39E87C7D5E5}"/>
  </bookViews>
  <sheets>
    <sheet name="Sheet3" sheetId="5" r:id="rId1"/>
    <sheet name="MFLogs" sheetId="2" r:id="rId2"/>
    <sheet name="Latest_NAV" sheetId="4" r:id="rId3"/>
  </sheets>
  <definedNames>
    <definedName name="_xlnm._FilterDatabase" localSheetId="1" hidden="1">MFLogs!$A$1:$N$1410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23" i="2" l="1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1423" i="2" l="1"/>
  <c r="E1423" i="2" s="1"/>
</calcChain>
</file>

<file path=xl/sharedStrings.xml><?xml version="1.0" encoding="utf-8"?>
<sst xmlns="http://schemas.openxmlformats.org/spreadsheetml/2006/main" count="8213" uniqueCount="113">
  <si>
    <t>FolioNumber</t>
  </si>
  <si>
    <t>FundCode</t>
  </si>
  <si>
    <t>TransactionDate</t>
  </si>
  <si>
    <t>Units</t>
  </si>
  <si>
    <t>NAV</t>
  </si>
  <si>
    <t>ReferenceNo</t>
  </si>
  <si>
    <t>Source</t>
  </si>
  <si>
    <t>Note</t>
  </si>
  <si>
    <t>MF Name</t>
  </si>
  <si>
    <t>Amt Paid</t>
  </si>
  <si>
    <t>PAN Owner</t>
  </si>
  <si>
    <t>18968155</t>
  </si>
  <si>
    <t>INF200K01QX4</t>
  </si>
  <si>
    <t>DK HDFC NRO</t>
  </si>
  <si>
    <t>Long Term</t>
  </si>
  <si>
    <t>SBI Large Cap Fund - Direct Plan - Growth</t>
  </si>
  <si>
    <t>DK</t>
  </si>
  <si>
    <t>499183354147</t>
  </si>
  <si>
    <t>INF204K01K15</t>
  </si>
  <si>
    <t>Nippon India Small Cap Fund - Direct Plan - Growth</t>
  </si>
  <si>
    <t>4183002</t>
  </si>
  <si>
    <t>INF277K01QO1</t>
  </si>
  <si>
    <t>Wipro-PF</t>
  </si>
  <si>
    <t>Tata Retirement Savings Fund- Progressive Plan - Direct Plan - Growth</t>
  </si>
  <si>
    <t>10121489</t>
  </si>
  <si>
    <t>INF879O01027</t>
  </si>
  <si>
    <t>Parag Parikh Flexi Cap Fund - Direct Plan - Growth</t>
  </si>
  <si>
    <t>19915197402</t>
  </si>
  <si>
    <t>INF760K01EI4</t>
  </si>
  <si>
    <t>DK Long Term</t>
  </si>
  <si>
    <t>Canara Robeco Large And Mid Cap Fund - Direct Growth</t>
  </si>
  <si>
    <t>RS SBI</t>
  </si>
  <si>
    <t>RS</t>
  </si>
  <si>
    <t>10231846</t>
  </si>
  <si>
    <t>INF277K01PK1</t>
  </si>
  <si>
    <t>Watching</t>
  </si>
  <si>
    <t>Tata S&amp;P BSE Sensex Index Fund - Direct Plan</t>
  </si>
  <si>
    <t>10510544</t>
  </si>
  <si>
    <t>KOTAK M BANK - NRE</t>
  </si>
  <si>
    <t>INF769K01BI1</t>
  </si>
  <si>
    <t>SIP</t>
  </si>
  <si>
    <t>Mirae Asset Large And Midcap Fund - Direct Plan</t>
  </si>
  <si>
    <t>INF200K01T51</t>
  </si>
  <si>
    <t>SBI Small Cap Fund - Direct Plan - Growth</t>
  </si>
  <si>
    <t>Sold</t>
  </si>
  <si>
    <t>Profilt Booking</t>
  </si>
  <si>
    <t>P/L Adjusted</t>
  </si>
  <si>
    <t>SIP -JAG</t>
  </si>
  <si>
    <t>79931281531</t>
  </si>
  <si>
    <t>79936204371</t>
  </si>
  <si>
    <t>4751368</t>
  </si>
  <si>
    <t>INF174K01LF9</t>
  </si>
  <si>
    <t>Kotak Large &amp; Midcap Fund - Direct- Growth</t>
  </si>
  <si>
    <t>91093138511</t>
  </si>
  <si>
    <t>INF846K01K35</t>
  </si>
  <si>
    <t>Axis Small Cap Fund - Direct Plan - Growth</t>
  </si>
  <si>
    <t>INF760K01JW4</t>
  </si>
  <si>
    <t>Canara Robeco Value Fund - Direct Plan - Growth</t>
  </si>
  <si>
    <t>Top up</t>
  </si>
  <si>
    <t>910146098564</t>
  </si>
  <si>
    <t>79954053351</t>
  </si>
  <si>
    <t>INF769K01DM9</t>
  </si>
  <si>
    <t>Tax Saving</t>
  </si>
  <si>
    <t>Mirae Asset ELSS Tax Saver Fund - Direct Plan</t>
  </si>
  <si>
    <t>910146844882</t>
  </si>
  <si>
    <t>91093138814</t>
  </si>
  <si>
    <t>JAG SIP</t>
  </si>
  <si>
    <t>91093138965</t>
  </si>
  <si>
    <t>DIV SIP</t>
  </si>
  <si>
    <t>910160295815</t>
  </si>
  <si>
    <t>JAG LIC</t>
  </si>
  <si>
    <t>INF760K01JC6</t>
  </si>
  <si>
    <t>Sonarpure Flat sell</t>
  </si>
  <si>
    <t>Canara Robeco SMALL CAP Fund - Direct Plan - Growth</t>
  </si>
  <si>
    <t>18917658</t>
  </si>
  <si>
    <t>INF879O01266</t>
  </si>
  <si>
    <t>Parag Parikh Dynamic Asset Allocation Fund - Direct Plan - Growth</t>
  </si>
  <si>
    <t>Switch-From Kotak Stnd Muticap</t>
  </si>
  <si>
    <t>910111376902</t>
  </si>
  <si>
    <t>Lateral Shift In</t>
  </si>
  <si>
    <t>Moved from Axis Focus to Axis Small Cap</t>
  </si>
  <si>
    <t>17412588</t>
  </si>
  <si>
    <t>DK IDFC NRO</t>
  </si>
  <si>
    <t>CC2-LAND SELL</t>
  </si>
  <si>
    <t>17713086</t>
  </si>
  <si>
    <t>JS IDFC NRO</t>
  </si>
  <si>
    <t>JS</t>
  </si>
  <si>
    <t>499424545351</t>
  </si>
  <si>
    <t>JS IDFC NRE</t>
  </si>
  <si>
    <t>SIP-W</t>
  </si>
  <si>
    <t>37467898</t>
  </si>
  <si>
    <t>INF179KA1RW5</t>
  </si>
  <si>
    <t>HDFC Small Cap Fund - Growth Option - Direct Plan</t>
  </si>
  <si>
    <t>37959966</t>
  </si>
  <si>
    <t>JS Diversification</t>
  </si>
  <si>
    <t>INF179K01LC5</t>
  </si>
  <si>
    <t>SGB Money Parking</t>
  </si>
  <si>
    <t>HDFC Gold ETF Fund of Fund - Growth Option</t>
  </si>
  <si>
    <t xml:space="preserve">INF879O01332 </t>
  </si>
  <si>
    <t>NFO Purchase</t>
  </si>
  <si>
    <t>Bhudhan Loan Return</t>
  </si>
  <si>
    <t>Parag Parikh Large Cap Fund - Direct Plan - Growth</t>
  </si>
  <si>
    <t>Switch In</t>
  </si>
  <si>
    <t>Purchase</t>
  </si>
  <si>
    <t>Stock To MF</t>
  </si>
  <si>
    <t xml:space="preserve">INF879O01027 </t>
  </si>
  <si>
    <t>Switch-In from Lqd Fund</t>
  </si>
  <si>
    <t>(blank)</t>
  </si>
  <si>
    <t>Grand Total</t>
  </si>
  <si>
    <t>Row Labels</t>
  </si>
  <si>
    <t>NAV_Date</t>
  </si>
  <si>
    <t>Latest_NAV</t>
  </si>
  <si>
    <t>30‑Apr‑2026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</si>
</sst>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0.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7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49" fontId="0" fillId="0" borderId="4" xfId="0" applyNumberFormat="1" applyBorder="1"/>
    <xf numFmtId="0" fontId="0" fillId="0" borderId="5" xfId="0" applyBorder="1"/>
    <xf numFmtId="164" fontId="0" fillId="0" borderId="5" xfId="0" applyNumberFormat="1" applyBorder="1"/>
    <xf numFmtId="165" fontId="0" fillId="0" borderId="6" xfId="0" applyNumberFormat="1" applyBorder="1"/>
    <xf numFmtId="2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7" xfId="0" applyBorder="1"/>
    <xf numFmtId="164" fontId="0" fillId="0" borderId="6" xfId="0" applyNumberFormat="1" applyBorder="1"/>
    <xf numFmtId="0" fontId="0" fillId="0" borderId="6" xfId="0" applyBorder="1"/>
    <xf numFmtId="0" fontId="0" fillId="0" borderId="8" xfId="0" applyBorder="1"/>
    <xf numFmtId="0" fontId="0" fillId="0" borderId="6" xfId="0" applyBorder="1" applyAlignment="1">
      <alignment horizontal="center"/>
    </xf>
    <xf numFmtId="49" fontId="0" fillId="0" borderId="9" xfId="0" applyNumberFormat="1" applyBorder="1"/>
    <xf numFmtId="2" fontId="0" fillId="0" borderId="6" xfId="0" applyNumberFormat="1" applyBorder="1"/>
    <xf numFmtId="49" fontId="0" fillId="3" borderId="9" xfId="0" applyNumberFormat="1" applyFill="1" applyBorder="1"/>
    <xf numFmtId="0" fontId="0" fillId="3" borderId="6" xfId="0" applyFill="1" applyBorder="1"/>
    <xf numFmtId="164" fontId="0" fillId="3" borderId="6" xfId="0" applyNumberFormat="1" applyFill="1" applyBorder="1"/>
    <xf numFmtId="165" fontId="0" fillId="3" borderId="6" xfId="0" applyNumberFormat="1" applyFill="1" applyBorder="1"/>
    <xf numFmtId="2" fontId="0" fillId="3" borderId="6" xfId="0" applyNumberFormat="1" applyFill="1" applyBorder="1"/>
    <xf numFmtId="0" fontId="0" fillId="3" borderId="8" xfId="0" applyFill="1" applyBorder="1"/>
    <xf numFmtId="49" fontId="0" fillId="0" borderId="9" xfId="0" quotePrefix="1" applyNumberFormat="1" applyBorder="1"/>
    <xf numFmtId="164" fontId="0" fillId="4" borderId="6" xfId="0" applyNumberFormat="1" applyFill="1" applyBorder="1"/>
    <xf numFmtId="0" fontId="0" fillId="0" borderId="10" xfId="0" applyBorder="1"/>
    <xf numFmtId="164" fontId="0" fillId="0" borderId="10" xfId="0" applyNumberFormat="1" applyBorder="1"/>
    <xf numFmtId="165" fontId="0" fillId="0" borderId="10" xfId="0" applyNumberFormat="1" applyBorder="1"/>
    <xf numFmtId="2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11" xfId="0" applyBorder="1"/>
    <xf numFmtId="49" fontId="0" fillId="0" borderId="12" xfId="0" applyNumberFormat="1" applyBorder="1"/>
    <xf numFmtId="0" fontId="2" fillId="5" borderId="1" xfId="0" applyFont="1" applyFill="1" applyBorder="1"/>
    <xf numFmtId="0" fontId="2" fillId="5" borderId="2" xfId="0" applyFont="1" applyFill="1" applyBorder="1"/>
    <xf numFmtId="164" fontId="2" fillId="5" borderId="2" xfId="0" applyNumberFormat="1" applyFont="1" applyFill="1" applyBorder="1"/>
    <xf numFmtId="165" fontId="2" fillId="5" borderId="2" xfId="0" applyNumberFormat="1" applyFont="1" applyFill="1" applyBorder="1"/>
    <xf numFmtId="2" fontId="2" fillId="5" borderId="2" xfId="0" applyNumberFormat="1" applyFont="1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 Shaw" refreshedDate="46143.612661574072" createdVersion="8" refreshedVersion="8" minRefreshableVersion="3" recordCount="1423" xr:uid="{E918A21F-BD43-473A-AD61-B73043B41BD5}">
  <cacheSource type="worksheet">
    <worksheetSource ref="A1:K1048576" sheet="MFLogs"/>
  </cacheSource>
  <cacheFields count="11">
    <cacheField name="FolioNumber" numFmtId="0">
      <sharedItems containsBlank="1" containsMixedTypes="1" containsNumber="1" containsInteger="1" minValue="18917658" maxValue="79944037504"/>
    </cacheField>
    <cacheField name="FundCode" numFmtId="0">
      <sharedItems containsBlank="1"/>
    </cacheField>
    <cacheField name="TransactionDate" numFmtId="0">
      <sharedItems containsNonDate="0" containsDate="1" containsString="0" containsBlank="1" minDate="2017-11-30T00:00:00" maxDate="2026-04-30T00:00:00"/>
    </cacheField>
    <cacheField name="Units" numFmtId="0">
      <sharedItems containsString="0" containsBlank="1" containsNumber="1" minValue="-3418.857" maxValue="425762.65440421336"/>
    </cacheField>
    <cacheField name="NAV" numFmtId="0">
      <sharedItems containsString="0" containsBlank="1" containsNumber="1" minValue="8.7897999999999996" maxValue="378.29199999999997"/>
    </cacheField>
    <cacheField name="ReferenceNo" numFmtId="0">
      <sharedItems containsBlank="1" containsMixedTypes="1" containsNumber="1" containsInteger="1" minValue="7394678784" maxValue="52164519656"/>
    </cacheField>
    <cacheField name="Source" numFmtId="0">
      <sharedItems containsBlank="1"/>
    </cacheField>
    <cacheField name="Note" numFmtId="0">
      <sharedItems containsBlank="1"/>
    </cacheField>
    <cacheField name="MF Name" numFmtId="0">
      <sharedItems containsBlank="1" count="18">
        <s v="SBI Large Cap Fund - Direct Plan - Growth"/>
        <s v="Nippon India Small Cap Fund - Direct Plan - Growth"/>
        <s v="Tata Retirement Savings Fund- Progressive Plan - Direct Plan - Growth"/>
        <s v="Parag Parikh Flexi Cap Fund - Direct Plan - Growth"/>
        <s v="Canara Robeco Large And Mid Cap Fund - Direct Growth"/>
        <s v="Tata S&amp;P BSE Sensex Index Fund - Direct Plan"/>
        <s v="Mirae Asset Large And Midcap Fund - Direct Plan"/>
        <s v="SBI Small Cap Fund - Direct Plan - Growth"/>
        <s v="Kotak Large &amp; Midcap Fund - Direct- Growth"/>
        <s v="Axis Small Cap Fund - Direct Plan - Growth"/>
        <s v="Canara Robeco Value Fund - Direct Plan - Growth"/>
        <s v="Mirae Asset ELSS Tax Saver Fund - Direct Plan"/>
        <s v="Canara Robeco SMALL CAP Fund - Direct Plan - Growth"/>
        <s v="Parag Parikh Dynamic Asset Allocation Fund - Direct Plan - Growth"/>
        <s v="HDFC Small Cap Fund - Growth Option - Direct Plan"/>
        <s v="HDFC Gold ETF Fund of Fund - Growth Option"/>
        <s v="Parag Parikh Large Cap Fund - Direct Plan - Growth"/>
        <m/>
      </sharedItems>
    </cacheField>
    <cacheField name="Amt Paid" numFmtId="0">
      <sharedItems containsString="0" containsBlank="1" containsNumber="1" minValue="-445100.99283" maxValue="25510080.290166367"/>
    </cacheField>
    <cacheField name="PAN Own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3">
  <r>
    <s v="18968155"/>
    <s v="INF200K01QX4"/>
    <d v="2017-11-30T00:00:00"/>
    <n v="253.84399999999999"/>
    <n v="39.394199999999998"/>
    <m/>
    <s v="DK HDFC NRO"/>
    <s v="Long Term"/>
    <x v="0"/>
    <n v="9999.9813047999996"/>
    <s v="DK"/>
  </r>
  <r>
    <s v="499183354147"/>
    <s v="INF204K01K15"/>
    <d v="2017-12-12T00:00:00"/>
    <n v="106.298"/>
    <n v="47.037399999999998"/>
    <m/>
    <s v="DK HDFC NRO"/>
    <m/>
    <x v="1"/>
    <n v="4999.9815452000003"/>
    <s v="DK"/>
  </r>
  <r>
    <s v="499183354147"/>
    <s v="INF204K01K15"/>
    <d v="2018-01-01T00:00:00"/>
    <n v="100.07299999999999"/>
    <n v="49.963299999999997"/>
    <m/>
    <s v="DK HDFC NRO"/>
    <m/>
    <x v="1"/>
    <n v="4999.9773208999995"/>
    <s v="DK"/>
  </r>
  <r>
    <s v="499183354147"/>
    <s v="INF204K01K15"/>
    <d v="2018-01-10T00:00:00"/>
    <n v="96.694000000000003"/>
    <n v="51.709699999999998"/>
    <m/>
    <s v="DK HDFC NRO"/>
    <m/>
    <x v="1"/>
    <n v="5000.0177317999996"/>
    <s v="DK"/>
  </r>
  <r>
    <s v="18968155"/>
    <s v="INF200K01QX4"/>
    <d v="2018-01-10T00:00:00"/>
    <n v="122.1"/>
    <n v="40.950000000000003"/>
    <m/>
    <s v="DK HDFC NRO"/>
    <s v="Long Term"/>
    <x v="0"/>
    <n v="4999.9949999999999"/>
    <s v="DK"/>
  </r>
  <r>
    <s v="499183354147"/>
    <s v="INF204K01K15"/>
    <d v="2018-01-12T00:00:00"/>
    <n v="192.607"/>
    <n v="51.919199999999996"/>
    <m/>
    <s v="DK HDFC NRO"/>
    <m/>
    <x v="1"/>
    <n v="10000.001354399999"/>
    <s v="DK"/>
  </r>
  <r>
    <s v="499183354147"/>
    <s v="INF204K01K15"/>
    <d v="2018-01-16T00:00:00"/>
    <n v="97.649000000000001"/>
    <n v="51.203899999999997"/>
    <m/>
    <s v="DK HDFC NRO"/>
    <m/>
    <x v="1"/>
    <n v="5000.0096310999998"/>
    <s v="DK"/>
  </r>
  <r>
    <s v="499183354147"/>
    <s v="INF204K01K15"/>
    <d v="2018-01-19T00:00:00"/>
    <n v="98.694000000000003"/>
    <n v="50.661700000000003"/>
    <m/>
    <s v="DK HDFC NRO"/>
    <m/>
    <x v="1"/>
    <n v="5000.0058198000006"/>
    <s v="DK"/>
  </r>
  <r>
    <s v="499183354147"/>
    <s v="INF204K01K15"/>
    <d v="2018-01-30T00:00:00"/>
    <n v="101.693"/>
    <n v="49.167700000000004"/>
    <m/>
    <s v="DK HDFC NRO"/>
    <m/>
    <x v="1"/>
    <n v="5000.0109161"/>
    <s v="DK"/>
  </r>
  <r>
    <s v="499183354147"/>
    <s v="INF204K01K15"/>
    <d v="2018-01-31T00:00:00"/>
    <n v="102.505"/>
    <n v="48.777900000000002"/>
    <m/>
    <s v="DK HDFC NRO"/>
    <m/>
    <x v="1"/>
    <n v="4999.9786395000001"/>
    <s v="DK"/>
  </r>
  <r>
    <s v="499183354147"/>
    <s v="INF204K01K15"/>
    <d v="2018-02-01T00:00:00"/>
    <n v="204.214"/>
    <n v="48.968299999999999"/>
    <m/>
    <s v="DK HDFC NRO"/>
    <m/>
    <x v="1"/>
    <n v="10000.012416199999"/>
    <s v="DK"/>
  </r>
  <r>
    <s v="18968155"/>
    <s v="INF200K01QX4"/>
    <d v="2018-02-01T00:00:00"/>
    <n v="121.444"/>
    <n v="41.171399999999998"/>
    <m/>
    <s v="DK HDFC NRO"/>
    <s v="Long Term"/>
    <x v="0"/>
    <n v="5000.0195015999998"/>
    <s v="DK"/>
  </r>
  <r>
    <s v="499183354147"/>
    <s v="INF204K01K15"/>
    <d v="2018-02-02T00:00:00"/>
    <n v="105.986"/>
    <n v="47.176000000000002"/>
    <m/>
    <s v="DK HDFC NRO"/>
    <m/>
    <x v="1"/>
    <n v="4999.9955360000004"/>
    <s v="DK"/>
  </r>
  <r>
    <s v="499183354147"/>
    <s v="INF204K01K15"/>
    <d v="2018-02-05T00:00:00"/>
    <n v="106.005"/>
    <n v="47.167400000000001"/>
    <m/>
    <s v="DK HDFC NRO"/>
    <m/>
    <x v="1"/>
    <n v="4999.9802369999998"/>
    <s v="DK"/>
  </r>
  <r>
    <s v="499183354147"/>
    <s v="INF204K01K15"/>
    <d v="2018-02-20T00:00:00"/>
    <n v="105.367"/>
    <n v="47.453000000000003"/>
    <m/>
    <s v="DK HDFC NRO"/>
    <m/>
    <x v="1"/>
    <n v="4999.9802510000009"/>
    <s v="DK"/>
  </r>
  <r>
    <s v="18968155"/>
    <s v="INF200K01QX4"/>
    <d v="2018-02-21T00:00:00"/>
    <n v="25.652999999999999"/>
    <n v="38.981299999999997"/>
    <m/>
    <s v="DK HDFC NRO"/>
    <s v="Long Term"/>
    <x v="0"/>
    <n v="999.98728889999984"/>
    <s v="DK"/>
  </r>
  <r>
    <s v="499183354147"/>
    <s v="INF204K01K15"/>
    <d v="2018-02-22T00:00:00"/>
    <n v="106.084"/>
    <n v="47.132300000000001"/>
    <m/>
    <s v="DK HDFC NRO"/>
    <m/>
    <x v="1"/>
    <n v="4999.9829132000004"/>
    <s v="DK"/>
  </r>
  <r>
    <s v="18968155"/>
    <s v="INF200K01QX4"/>
    <d v="2018-02-22T00:00:00"/>
    <n v="38.558999999999997"/>
    <n v="38.901400000000002"/>
    <m/>
    <s v="DK HDFC NRO"/>
    <s v="Long Term"/>
    <x v="0"/>
    <n v="1499.9990826000001"/>
    <s v="DK"/>
  </r>
  <r>
    <s v="499183354147"/>
    <s v="INF204K01K15"/>
    <d v="2018-02-26T00:00:00"/>
    <n v="51.755000000000003"/>
    <n v="48.304099999999998"/>
    <m/>
    <s v="DK HDFC NRO"/>
    <m/>
    <x v="1"/>
    <n v="2499.9786955"/>
    <s v="DK"/>
  </r>
  <r>
    <s v="18968155"/>
    <s v="INF200K01QX4"/>
    <d v="2018-02-26T00:00:00"/>
    <n v="37.576000000000001"/>
    <n v="39.919400000000003"/>
    <m/>
    <s v="DK HDFC NRO"/>
    <s v="Long Term"/>
    <x v="0"/>
    <n v="1500.0113744000002"/>
    <s v="DK"/>
  </r>
  <r>
    <s v="499183354147"/>
    <s v="INF204K01K15"/>
    <d v="2018-02-27T00:00:00"/>
    <n v="51.828000000000003"/>
    <n v="48.236899999999999"/>
    <m/>
    <s v="DK HDFC NRO"/>
    <m/>
    <x v="1"/>
    <n v="2500.0220531999998"/>
    <s v="DK"/>
  </r>
  <r>
    <s v="499183354147"/>
    <s v="INF204K01K15"/>
    <d v="2018-02-28T00:00:00"/>
    <n v="51.787999999999997"/>
    <n v="48.273600000000002"/>
    <m/>
    <s v="DK HDFC NRO"/>
    <m/>
    <x v="1"/>
    <n v="2499.9931968000001"/>
    <s v="DK"/>
  </r>
  <r>
    <s v="18968155"/>
    <s v="INF200K01QX4"/>
    <d v="2018-02-28T00:00:00"/>
    <n v="25.199000000000002"/>
    <n v="39.683799999999998"/>
    <m/>
    <s v="DK HDFC NRO"/>
    <s v="Long Term"/>
    <x v="0"/>
    <n v="999.99207620000004"/>
    <s v="DK"/>
  </r>
  <r>
    <s v="499183354147"/>
    <s v="INF204K01K15"/>
    <d v="2018-03-01T00:00:00"/>
    <n v="51.765000000000001"/>
    <n v="48.295299999999997"/>
    <m/>
    <s v="DK HDFC NRO"/>
    <m/>
    <x v="1"/>
    <n v="2500.0062045"/>
    <s v="DK"/>
  </r>
  <r>
    <s v="499183354147"/>
    <s v="INF204K01K15"/>
    <d v="2018-03-05T00:00:00"/>
    <n v="52.439"/>
    <n v="47.674100000000003"/>
    <m/>
    <s v="DK HDFC NRO"/>
    <m/>
    <x v="1"/>
    <n v="2499.9821299"/>
    <s v="DK"/>
  </r>
  <r>
    <s v="499183354147"/>
    <s v="INF204K01K15"/>
    <d v="2018-03-06T00:00:00"/>
    <n v="52.981999999999999"/>
    <n v="47.186199999999999"/>
    <m/>
    <s v="DK HDFC NRO"/>
    <m/>
    <x v="1"/>
    <n v="2500.0192483999999"/>
    <s v="DK"/>
  </r>
  <r>
    <s v="499183354147"/>
    <s v="INF204K01K15"/>
    <d v="2018-03-07T00:00:00"/>
    <n v="54.024999999999999"/>
    <n v="46.2746"/>
    <m/>
    <s v="DK HDFC NRO"/>
    <m/>
    <x v="1"/>
    <n v="2499.9852649999998"/>
    <s v="DK"/>
  </r>
  <r>
    <s v="499183354147"/>
    <s v="INF204K01K15"/>
    <d v="2018-03-08T00:00:00"/>
    <n v="54.048000000000002"/>
    <n v="46.254800000000003"/>
    <m/>
    <s v="DK HDFC NRO"/>
    <m/>
    <x v="1"/>
    <n v="2499.9794304000002"/>
    <s v="DK"/>
  </r>
  <r>
    <s v="499183354147"/>
    <s v="INF204K01K15"/>
    <d v="2018-03-19T00:00:00"/>
    <n v="54.655999999999999"/>
    <n v="45.741"/>
    <m/>
    <s v="DK HDFC NRO"/>
    <m/>
    <x v="1"/>
    <n v="2500.0200959999997"/>
    <s v="DK"/>
  </r>
  <r>
    <s v="18968155"/>
    <s v="INF200K01QX4"/>
    <d v="2018-03-19T00:00:00"/>
    <n v="25.946000000000002"/>
    <n v="38.541600000000003"/>
    <m/>
    <s v="DK HDFC NRO"/>
    <s v="Long Term"/>
    <x v="0"/>
    <n v="1000.0003536000002"/>
    <s v="DK"/>
  </r>
  <r>
    <s v="499183354147"/>
    <s v="INF204K01K15"/>
    <d v="2018-03-20T00:00:00"/>
    <n v="54.826999999999998"/>
    <n v="45.597700000000003"/>
    <m/>
    <s v="DK HDFC NRO"/>
    <m/>
    <x v="1"/>
    <n v="2499.9850979000003"/>
    <s v="DK"/>
  </r>
  <r>
    <s v="18968155"/>
    <s v="INF200K01QX4"/>
    <d v="2018-03-20T00:00:00"/>
    <n v="25.853000000000002"/>
    <n v="38.680599999999998"/>
    <m/>
    <s v="DK HDFC NRO"/>
    <s v="Long Term"/>
    <x v="0"/>
    <n v="1000.0095518000001"/>
    <s v="DK"/>
  </r>
  <r>
    <s v="499183354147"/>
    <s v="INF204K01K15"/>
    <d v="2018-03-23T00:00:00"/>
    <n v="55.82"/>
    <n v="44.786999999999999"/>
    <m/>
    <s v="DK HDFC NRO"/>
    <m/>
    <x v="1"/>
    <n v="2500.0103399999998"/>
    <s v="DK"/>
  </r>
  <r>
    <s v="18968155"/>
    <s v="INF200K01QX4"/>
    <d v="2018-03-23T00:00:00"/>
    <n v="26.178000000000001"/>
    <n v="38.200299999999999"/>
    <m/>
    <s v="DK HDFC NRO"/>
    <s v="Long Term"/>
    <x v="0"/>
    <n v="1000.0074534"/>
    <s v="DK"/>
  </r>
  <r>
    <s v="18968155"/>
    <s v="INF200K01QX4"/>
    <d v="2018-04-04T00:00:00"/>
    <n v="25.475999999999999"/>
    <n v="39.253100000000003"/>
    <m/>
    <s v="DK HDFC NRO"/>
    <s v="Long Term"/>
    <x v="0"/>
    <n v="1000.0119756"/>
    <s v="DK"/>
  </r>
  <r>
    <s v="18968155"/>
    <s v="INF200K01QX4"/>
    <d v="2018-04-20T00:00:00"/>
    <n v="24.579000000000001"/>
    <n v="40.685299999999998"/>
    <m/>
    <s v="DK HDFC NRO"/>
    <s v="Long Term"/>
    <x v="0"/>
    <n v="1000.0039886999999"/>
    <s v="DK"/>
  </r>
  <r>
    <s v="4183002"/>
    <s v="INF277K01QO1"/>
    <d v="2018-04-23T00:00:00"/>
    <n v="156.31299999999999"/>
    <n v="31.987200000000001"/>
    <m/>
    <s v="DK HDFC NRO"/>
    <s v="Wipro-PF"/>
    <x v="2"/>
    <n v="5000.0151936000002"/>
    <s v="DK"/>
  </r>
  <r>
    <s v="4183002"/>
    <s v="INF277K01QO1"/>
    <d v="2018-04-24T00:00:00"/>
    <n v="155.31700000000001"/>
    <n v="32.1922"/>
    <m/>
    <s v="DK HDFC NRO"/>
    <s v="Wipro-PF"/>
    <x v="2"/>
    <n v="4999.9959274000003"/>
    <s v="DK"/>
  </r>
  <r>
    <s v="4183002"/>
    <s v="INF277K01QO1"/>
    <d v="2018-04-25T00:00:00"/>
    <n v="155.65100000000001"/>
    <n v="32.123199999999997"/>
    <m/>
    <s v="DK HDFC NRO"/>
    <s v="Wipro-PF"/>
    <x v="2"/>
    <n v="5000.0082032"/>
    <s v="DK"/>
  </r>
  <r>
    <s v="18968155"/>
    <s v="INF200K01QX4"/>
    <d v="2018-04-26T00:00:00"/>
    <n v="24.45"/>
    <n v="40.899099999999997"/>
    <m/>
    <s v="DK HDFC NRO"/>
    <s v="Long Term"/>
    <x v="0"/>
    <n v="999.98299499999985"/>
    <s v="DK"/>
  </r>
  <r>
    <s v="4183002"/>
    <s v="INF277K01QO1"/>
    <d v="2018-04-26T00:00:00"/>
    <n v="309.65199999999999"/>
    <n v="32.2943"/>
    <m/>
    <s v="DK HDFC NRO"/>
    <s v="Wipro-PF"/>
    <x v="2"/>
    <n v="9999.9945835999988"/>
    <s v="DK"/>
  </r>
  <r>
    <s v="4183002"/>
    <s v="INF277K01QO1"/>
    <d v="2018-04-27T00:00:00"/>
    <n v="154.37299999999999"/>
    <n v="32.389000000000003"/>
    <m/>
    <s v="DK HDFC NRO"/>
    <s v="Wipro-PF"/>
    <x v="2"/>
    <n v="4999.9870970000002"/>
    <s v="DK"/>
  </r>
  <r>
    <s v="18968155"/>
    <s v="INF200K01QX4"/>
    <d v="2018-04-30T00:00:00"/>
    <n v="48.411000000000001"/>
    <n v="41.312899999999999"/>
    <m/>
    <s v="DK HDFC NRO"/>
    <s v="Long Term"/>
    <x v="0"/>
    <n v="1999.9988019"/>
    <s v="DK"/>
  </r>
  <r>
    <s v="18968155"/>
    <s v="INF200K01QX4"/>
    <d v="2018-05-02T00:00:00"/>
    <n v="48.744999999999997"/>
    <n v="41.029699999999998"/>
    <m/>
    <s v="DK HDFC NRO"/>
    <s v="Long Term"/>
    <x v="0"/>
    <n v="1999.9927264999999"/>
    <s v="DK"/>
  </r>
  <r>
    <s v="4183002"/>
    <s v="INF277K01QO1"/>
    <d v="2018-05-02T00:00:00"/>
    <n v="153.613"/>
    <n v="32.549300000000002"/>
    <m/>
    <s v="DK HDFC NRO"/>
    <s v="Wipro-PF"/>
    <x v="2"/>
    <n v="4999.9956209000002"/>
    <s v="DK"/>
  </r>
  <r>
    <s v="18968155"/>
    <s v="INF200K01QX4"/>
    <d v="2018-05-03T00:00:00"/>
    <n v="49.127000000000002"/>
    <n v="40.710500000000003"/>
    <m/>
    <s v="DK HDFC NRO"/>
    <s v="Long Term"/>
    <x v="0"/>
    <n v="1999.9847335000002"/>
    <s v="DK"/>
  </r>
  <r>
    <s v="4183002"/>
    <s v="INF277K01QO1"/>
    <d v="2018-05-03T00:00:00"/>
    <n v="154.81"/>
    <n v="32.297699999999999"/>
    <m/>
    <s v="DK HDFC NRO"/>
    <s v="Wipro-PF"/>
    <x v="2"/>
    <n v="5000.0069370000001"/>
    <s v="DK"/>
  </r>
  <r>
    <s v="18968155"/>
    <s v="INF200K01QX4"/>
    <d v="2018-05-04T00:00:00"/>
    <n v="49.396000000000001"/>
    <n v="40.4895"/>
    <m/>
    <s v="DK HDFC NRO"/>
    <s v="Long Term"/>
    <x v="0"/>
    <n v="2000.0193420000001"/>
    <s v="DK"/>
  </r>
  <r>
    <s v="4183002"/>
    <s v="INF277K01QO1"/>
    <d v="2018-05-04T00:00:00"/>
    <n v="311.084"/>
    <n v="32.145699999999998"/>
    <m/>
    <s v="DK HDFC NRO"/>
    <s v="Wipro-PF"/>
    <x v="2"/>
    <n v="10000.012938799999"/>
    <s v="DK"/>
  </r>
  <r>
    <s v="18968155"/>
    <s v="INF200K01QX4"/>
    <d v="2018-05-07T00:00:00"/>
    <n v="24.484000000000002"/>
    <n v="40.842500000000001"/>
    <m/>
    <s v="DK HDFC NRO"/>
    <s v="Long Term"/>
    <x v="0"/>
    <n v="999.98777000000007"/>
    <s v="DK"/>
  </r>
  <r>
    <s v="4183002"/>
    <s v="INF277K01QO1"/>
    <d v="2018-05-07T00:00:00"/>
    <n v="308.63099999999997"/>
    <n v="32.401200000000003"/>
    <m/>
    <s v="DK HDFC NRO"/>
    <s v="Wipro-PF"/>
    <x v="2"/>
    <n v="10000.014757200001"/>
    <s v="DK"/>
  </r>
  <r>
    <s v="4183002"/>
    <s v="INF277K01QO1"/>
    <d v="2018-05-08T00:00:00"/>
    <n v="773.35900000000004"/>
    <n v="32.326500000000003"/>
    <m/>
    <s v="DK HDFC NRO"/>
    <s v="Wipro-PF"/>
    <x v="2"/>
    <n v="24999.989713500003"/>
    <s v="DK"/>
  </r>
  <r>
    <s v="4183002"/>
    <s v="INF277K01QO1"/>
    <d v="2018-05-09T00:00:00"/>
    <n v="464.21699999999998"/>
    <n v="32.3125"/>
    <m/>
    <s v="DK HDFC NRO"/>
    <s v="Wipro-PF"/>
    <x v="2"/>
    <n v="15000.011812499999"/>
    <s v="DK"/>
  </r>
  <r>
    <s v="4183002"/>
    <s v="INF277K01QO1"/>
    <d v="2018-05-10T00:00:00"/>
    <n v="311.51"/>
    <n v="32.101700000000001"/>
    <m/>
    <s v="DK HDFC NRO"/>
    <s v="Wipro-PF"/>
    <x v="2"/>
    <n v="10000.000566999999"/>
    <s v="DK"/>
  </r>
  <r>
    <s v="4183002"/>
    <s v="INF277K01QO1"/>
    <d v="2018-05-11T00:00:00"/>
    <n v="154.58699999999999"/>
    <n v="32.344200000000001"/>
    <m/>
    <s v="DK HDFC NRO"/>
    <s v="Wipro-PF"/>
    <x v="2"/>
    <n v="4999.9928454000001"/>
    <s v="DK"/>
  </r>
  <r>
    <s v="4183002"/>
    <s v="INF277K01QO1"/>
    <d v="2018-05-14T00:00:00"/>
    <n v="466.798"/>
    <n v="32.133800000000001"/>
    <m/>
    <s v="DK HDFC NRO"/>
    <s v="Wipro-PF"/>
    <x v="2"/>
    <n v="14999.993572400001"/>
    <s v="DK"/>
  </r>
  <r>
    <s v="4183002"/>
    <s v="INF277K01QO1"/>
    <d v="2018-05-15T00:00:00"/>
    <n v="311.65699999999998"/>
    <n v="32.086599999999997"/>
    <m/>
    <s v="DK HDFC NRO"/>
    <s v="Wipro-PF"/>
    <x v="2"/>
    <n v="10000.013496199999"/>
    <s v="DK"/>
  </r>
  <r>
    <s v="18968155"/>
    <s v="INF200K01QX4"/>
    <d v="2018-05-16T00:00:00"/>
    <n v="49.427999999999997"/>
    <n v="40.463200000000001"/>
    <m/>
    <s v="DK HDFC NRO"/>
    <s v="Long Term"/>
    <x v="0"/>
    <n v="2000.0150495999999"/>
    <s v="DK"/>
  </r>
  <r>
    <s v="4183002"/>
    <s v="INF277K01QO1"/>
    <d v="2018-05-16T00:00:00"/>
    <n v="623.08199999999999"/>
    <n v="32.098500000000001"/>
    <m/>
    <s v="DK HDFC NRO"/>
    <s v="Wipro-PF"/>
    <x v="2"/>
    <n v="19999.997577000002"/>
    <s v="DK"/>
  </r>
  <r>
    <s v="18968155"/>
    <s v="INF200K01QX4"/>
    <d v="2018-05-17T00:00:00"/>
    <n v="49.612000000000002"/>
    <n v="40.3125"/>
    <m/>
    <s v="DK HDFC NRO"/>
    <s v="Long Term"/>
    <x v="0"/>
    <n v="1999.9837500000001"/>
    <s v="DK"/>
  </r>
  <r>
    <s v="4183002"/>
    <s v="INF277K01QO1"/>
    <d v="2018-05-17T00:00:00"/>
    <n v="233.13800000000001"/>
    <n v="32.169800000000002"/>
    <m/>
    <s v="DK HDFC NRO"/>
    <s v="Wipro-PF"/>
    <x v="2"/>
    <n v="7500.0028324000004"/>
    <s v="DK"/>
  </r>
  <r>
    <s v="18968155"/>
    <s v="INF200K01QX4"/>
    <d v="2018-05-18T00:00:00"/>
    <n v="50.179000000000002"/>
    <n v="39.857100000000003"/>
    <m/>
    <s v="DK HDFC NRO"/>
    <s v="Long Term"/>
    <x v="0"/>
    <n v="1999.9894209000001"/>
    <s v="DK"/>
  </r>
  <r>
    <s v="4183002"/>
    <s v="INF277K01QO1"/>
    <d v="2018-05-18T00:00:00"/>
    <n v="235.49700000000001"/>
    <n v="31.8475"/>
    <m/>
    <s v="DK HDFC NRO"/>
    <s v="Wipro-PF"/>
    <x v="2"/>
    <n v="7499.9907075000001"/>
    <s v="DK"/>
  </r>
  <r>
    <s v="18968155"/>
    <s v="INF200K01QX4"/>
    <d v="2018-05-21T00:00:00"/>
    <n v="50.722999999999999"/>
    <n v="39.429699999999997"/>
    <m/>
    <s v="DK HDFC NRO"/>
    <s v="Long Term"/>
    <x v="0"/>
    <n v="1999.9926730999998"/>
    <s v="DK"/>
  </r>
  <r>
    <s v="4183002"/>
    <s v="INF277K01QO1"/>
    <d v="2018-05-21T00:00:00"/>
    <n v="159.69399999999999"/>
    <n v="31.309899999999999"/>
    <m/>
    <s v="DK HDFC NRO"/>
    <s v="Wipro-PF"/>
    <x v="2"/>
    <n v="5000.0031705999991"/>
    <s v="DK"/>
  </r>
  <r>
    <s v="18968155"/>
    <s v="INF200K01QX4"/>
    <d v="2018-05-22T00:00:00"/>
    <n v="25.254000000000001"/>
    <n v="39.5976"/>
    <m/>
    <s v="DK HDFC NRO"/>
    <s v="Long Term"/>
    <x v="0"/>
    <n v="999.9977904000001"/>
    <s v="DK"/>
  </r>
  <r>
    <s v="18968155"/>
    <s v="INF200K01QX4"/>
    <d v="2018-05-23T00:00:00"/>
    <n v="25.465"/>
    <n v="39.270099999999999"/>
    <m/>
    <s v="DK HDFC NRO"/>
    <s v="Long Term"/>
    <x v="0"/>
    <n v="1000.0130965"/>
    <s v="DK"/>
  </r>
  <r>
    <s v="4183002"/>
    <s v="INF277K01QO1"/>
    <d v="2018-05-23T00:00:00"/>
    <n v="318.64800000000002"/>
    <n v="31.3826"/>
    <m/>
    <s v="DK HDFC NRO"/>
    <s v="Wipro-PF"/>
    <x v="2"/>
    <n v="10000.002724800001"/>
    <s v="DK"/>
  </r>
  <r>
    <s v="4183002"/>
    <s v="INF277K01QO1"/>
    <d v="2018-05-29T00:00:00"/>
    <n v="156.19900000000001"/>
    <n v="32.010399999999997"/>
    <m/>
    <s v="DK HDFC NRO"/>
    <s v="Wipro-PF"/>
    <x v="2"/>
    <n v="4999.9924695999998"/>
    <s v="DK"/>
  </r>
  <r>
    <s v="4183002"/>
    <s v="INF277K01QO1"/>
    <d v="2018-05-30T00:00:00"/>
    <n v="77.905000000000001"/>
    <n v="32.090400000000002"/>
    <m/>
    <s v="DK HDFC NRO"/>
    <s v="Wipro-PF"/>
    <x v="2"/>
    <n v="2500.0026120000002"/>
    <s v="DK"/>
  </r>
  <r>
    <s v="4183002"/>
    <s v="INF277K01QO1"/>
    <d v="2018-05-31T00:00:00"/>
    <n v="77.581999999999994"/>
    <n v="32.223999999999997"/>
    <m/>
    <s v="DK HDFC NRO"/>
    <s v="Wipro-PF"/>
    <x v="2"/>
    <n v="2500.0023679999995"/>
    <s v="DK"/>
  </r>
  <r>
    <s v="18968155"/>
    <s v="INF200K01QX4"/>
    <d v="2018-06-27T00:00:00"/>
    <n v="50.688000000000002"/>
    <n v="39.456800000000001"/>
    <m/>
    <s v="DK HDFC NRO"/>
    <s v="Long Term"/>
    <x v="0"/>
    <n v="1999.9862784000002"/>
    <s v="DK"/>
  </r>
  <r>
    <s v="18968155"/>
    <s v="INF200K01QX4"/>
    <d v="2018-06-28T00:00:00"/>
    <n v="51.180999999999997"/>
    <n v="39.077100000000002"/>
    <m/>
    <s v="DK HDFC NRO"/>
    <s v="Long Term"/>
    <x v="0"/>
    <n v="2000.0050550999999"/>
    <s v="DK"/>
  </r>
  <r>
    <s v="18968155"/>
    <s v="INF200K01QX4"/>
    <d v="2018-07-02T00:00:00"/>
    <n v="51.015999999999998"/>
    <n v="39.203200000000002"/>
    <m/>
    <s v="DK HDFC NRO"/>
    <s v="Long Term"/>
    <x v="0"/>
    <n v="1999.9904512000001"/>
    <s v="DK"/>
  </r>
  <r>
    <s v="18968155"/>
    <s v="INF200K01QX4"/>
    <d v="2018-07-06T00:00:00"/>
    <n v="25.334"/>
    <n v="39.472499999999997"/>
    <m/>
    <s v="DK HDFC NRO"/>
    <s v="Long Term"/>
    <x v="0"/>
    <n v="999.99631499999987"/>
    <s v="DK"/>
  </r>
  <r>
    <s v="18968155"/>
    <s v="INF200K01QX4"/>
    <d v="2018-07-09T00:00:00"/>
    <n v="25.091999999999999"/>
    <n v="39.8536"/>
    <m/>
    <s v="DK HDFC NRO"/>
    <s v="Long Term"/>
    <x v="0"/>
    <n v="1000.0065311999999"/>
    <s v="DK"/>
  </r>
  <r>
    <s v="18968155"/>
    <s v="INF200K01QX4"/>
    <d v="2018-07-11T00:00:00"/>
    <n v="25.05"/>
    <n v="39.919699999999999"/>
    <m/>
    <s v="DK HDFC NRO"/>
    <s v="Long Term"/>
    <x v="0"/>
    <n v="999.98848499999997"/>
    <s v="DK"/>
  </r>
  <r>
    <s v="18968155"/>
    <s v="INF200K01QX4"/>
    <d v="2018-07-12T00:00:00"/>
    <n v="24.975999999999999"/>
    <n v="40.038200000000003"/>
    <m/>
    <s v="DK HDFC NRO"/>
    <s v="Long Term"/>
    <x v="0"/>
    <n v="999.99408320000009"/>
    <s v="DK"/>
  </r>
  <r>
    <s v="4183002"/>
    <s v="INF277K01QO1"/>
    <d v="2018-07-12T00:00:00"/>
    <n v="31.04"/>
    <n v="32.216500000000003"/>
    <m/>
    <s v="DK HDFC NRO"/>
    <s v="Wipro-PF"/>
    <x v="2"/>
    <n v="1000.0001600000001"/>
    <s v="DK"/>
  </r>
  <r>
    <s v="18968155"/>
    <s v="INF200K01QX4"/>
    <d v="2018-08-01T00:00:00"/>
    <n v="242.07300000000001"/>
    <n v="41.309899999999999"/>
    <m/>
    <s v="DK HDFC NRO"/>
    <s v="Long Term"/>
    <x v="0"/>
    <n v="10000.011422699999"/>
    <s v="DK"/>
  </r>
  <r>
    <s v="4183002"/>
    <s v="INF277K01QO1"/>
    <d v="2018-08-06T00:00:00"/>
    <n v="30.327000000000002"/>
    <n v="32.973500000000001"/>
    <m/>
    <s v="DK HDFC NRO"/>
    <s v="Wipro-PF"/>
    <x v="2"/>
    <n v="999.98733450000009"/>
    <s v="DK"/>
  </r>
  <r>
    <s v="4183002"/>
    <s v="INF277K01QO1"/>
    <d v="2018-08-10T00:00:00"/>
    <n v="91.088999999999999"/>
    <n v="32.934699999999999"/>
    <m/>
    <s v="DK HDFC NRO"/>
    <s v="Wipro-PF"/>
    <x v="2"/>
    <n v="2999.9888882999999"/>
    <s v="DK"/>
  </r>
  <r>
    <s v="10121489"/>
    <s v="INF879O01027"/>
    <d v="2018-08-20T00:00:00"/>
    <n v="38.399000000000001"/>
    <n v="26.042300000000001"/>
    <m/>
    <s v="DK HDFC NRO"/>
    <s v="Long Term"/>
    <x v="3"/>
    <n v="999.99827770000002"/>
    <s v="DK"/>
  </r>
  <r>
    <s v="10121489"/>
    <s v="INF879O01027"/>
    <d v="2018-08-27T00:00:00"/>
    <n v="38.085000000000001"/>
    <n v="26.257200000000001"/>
    <m/>
    <s v="DK HDFC NRO"/>
    <s v="Long Term"/>
    <x v="3"/>
    <n v="1000.0054620000001"/>
    <s v="DK"/>
  </r>
  <r>
    <s v="4183002"/>
    <s v="INF277K01QO1"/>
    <d v="2018-08-29T00:00:00"/>
    <n v="29.794"/>
    <n v="33.5642"/>
    <m/>
    <s v="DK HDFC NRO"/>
    <s v="Wipro-PF"/>
    <x v="2"/>
    <n v="1000.0117748"/>
    <s v="DK"/>
  </r>
  <r>
    <s v="10121489"/>
    <s v="INF879O01027"/>
    <d v="2018-08-30T00:00:00"/>
    <n v="37.713000000000001"/>
    <n v="26.516100000000002"/>
    <m/>
    <s v="DK HDFC NRO"/>
    <s v="Long Term"/>
    <x v="3"/>
    <n v="1000.0016793000001"/>
    <s v="DK"/>
  </r>
  <r>
    <s v="18968155"/>
    <s v="INF200K01QX4"/>
    <d v="2018-08-30T00:00:00"/>
    <n v="47.491"/>
    <n v="42.113300000000002"/>
    <m/>
    <s v="DK HDFC NRO"/>
    <s v="Long Term"/>
    <x v="0"/>
    <n v="2000.0027303000002"/>
    <s v="DK"/>
  </r>
  <r>
    <s v="18968155"/>
    <s v="INF200K01QX4"/>
    <d v="2018-08-31T00:00:00"/>
    <n v="47.335000000000001"/>
    <n v="42.252000000000002"/>
    <m/>
    <s v="DK HDFC NRO"/>
    <s v="Long Term"/>
    <x v="0"/>
    <n v="1999.9984200000001"/>
    <s v="DK"/>
  </r>
  <r>
    <s v="10121489"/>
    <s v="INF879O01027"/>
    <d v="2018-09-03T00:00:00"/>
    <n v="75.930000000000007"/>
    <n v="26.3399"/>
    <m/>
    <s v="DK HDFC NRO"/>
    <s v="Long Term"/>
    <x v="3"/>
    <n v="1999.9886070000002"/>
    <s v="DK"/>
  </r>
  <r>
    <s v="18968155"/>
    <s v="INF200K01QX4"/>
    <d v="2018-09-03T00:00:00"/>
    <n v="47.558"/>
    <n v="42.053800000000003"/>
    <m/>
    <s v="DK HDFC NRO"/>
    <s v="Long Term"/>
    <x v="0"/>
    <n v="1999.9946204"/>
    <s v="DK"/>
  </r>
  <r>
    <s v="4183002"/>
    <s v="INF277K01QO1"/>
    <d v="2018-09-03T00:00:00"/>
    <n v="60.304000000000002"/>
    <n v="33.165500000000002"/>
    <m/>
    <s v="DK HDFC NRO"/>
    <s v="Wipro-PF"/>
    <x v="2"/>
    <n v="2000.0123120000001"/>
    <s v="DK"/>
  </r>
  <r>
    <s v="18968155"/>
    <s v="INF200K01QX4"/>
    <d v="2018-09-04T00:00:00"/>
    <n v="96.491"/>
    <n v="41.454700000000003"/>
    <m/>
    <s v="DK HDFC NRO"/>
    <s v="Long Term"/>
    <x v="0"/>
    <n v="4000.0054577000001"/>
    <s v="DK"/>
  </r>
  <r>
    <s v="4183002"/>
    <s v="INF277K01QO1"/>
    <d v="2018-09-04T00:00:00"/>
    <n v="61.359000000000002"/>
    <n v="32.594900000000003"/>
    <m/>
    <s v="DK HDFC NRO"/>
    <s v="Wipro-PF"/>
    <x v="2"/>
    <n v="1999.9904691000002"/>
    <s v="DK"/>
  </r>
  <r>
    <s v="10121489"/>
    <s v="INF879O01027"/>
    <d v="2018-09-11T00:00:00"/>
    <n v="76.986999999999995"/>
    <n v="25.978400000000001"/>
    <m/>
    <s v="DK HDFC NRO"/>
    <s v="Long Term"/>
    <x v="3"/>
    <n v="1999.9990808"/>
    <s v="DK"/>
  </r>
  <r>
    <s v="10121489"/>
    <s v="INF879O01027"/>
    <d v="2018-10-03T00:00:00"/>
    <n v="80.338999999999999"/>
    <n v="24.894500000000001"/>
    <m/>
    <s v="DK HDFC NRO"/>
    <s v="Long Term"/>
    <x v="3"/>
    <n v="1999.9992354999999"/>
    <s v="DK"/>
  </r>
  <r>
    <s v="18968155"/>
    <s v="INF200K01QX4"/>
    <d v="2018-10-03T00:00:00"/>
    <n v="78.311000000000007"/>
    <n v="38.308599999999998"/>
    <m/>
    <s v="DK HDFC NRO"/>
    <s v="Long Term"/>
    <x v="0"/>
    <n v="2999.9847746"/>
    <s v="DK"/>
  </r>
  <r>
    <s v="10121489"/>
    <s v="INF879O01027"/>
    <d v="2018-10-04T00:00:00"/>
    <n v="40.380000000000003"/>
    <n v="24.764500000000002"/>
    <m/>
    <s v="DK HDFC NRO"/>
    <s v="Long Term"/>
    <x v="3"/>
    <n v="999.99051000000009"/>
    <s v="DK"/>
  </r>
  <r>
    <s v="18968155"/>
    <s v="INF200K01QX4"/>
    <d v="2018-10-04T00:00:00"/>
    <n v="79.805000000000007"/>
    <n v="37.591500000000003"/>
    <m/>
    <s v="DK HDFC NRO"/>
    <s v="Long Term"/>
    <x v="0"/>
    <n v="2999.9896575000007"/>
    <s v="DK"/>
  </r>
  <r>
    <s v="4183002"/>
    <s v="INF277K01QO1"/>
    <d v="2018-10-04T00:00:00"/>
    <n v="70.155000000000001"/>
    <n v="28.508500000000002"/>
    <m/>
    <s v="DK HDFC NRO"/>
    <s v="Wipro-PF"/>
    <x v="2"/>
    <n v="2000.0138175000002"/>
    <s v="DK"/>
  </r>
  <r>
    <s v="18968155"/>
    <s v="INF200K01QX4"/>
    <d v="2018-10-05T00:00:00"/>
    <n v="54.691000000000003"/>
    <n v="36.569299999999998"/>
    <m/>
    <s v="DK HDFC NRO"/>
    <s v="Long Term"/>
    <x v="0"/>
    <n v="2000.0115863000001"/>
    <s v="DK"/>
  </r>
  <r>
    <s v="18968155"/>
    <s v="INF200K01QX4"/>
    <d v="2018-10-08T00:00:00"/>
    <n v="54.871000000000002"/>
    <n v="36.448999999999998"/>
    <m/>
    <s v="DK HDFC NRO"/>
    <s v="Long Term"/>
    <x v="0"/>
    <n v="1999.9930790000001"/>
    <s v="DK"/>
  </r>
  <r>
    <s v="10121489"/>
    <s v="INF879O01027"/>
    <d v="2018-11-14T00:00:00"/>
    <n v="85.024000000000001"/>
    <n v="23.5227"/>
    <m/>
    <s v="DK HDFC NRO"/>
    <s v="Long Term"/>
    <x v="3"/>
    <n v="1999.9940448"/>
    <s v="DK"/>
  </r>
  <r>
    <s v="18968155"/>
    <s v="INF200K01QX4"/>
    <d v="2018-11-21T00:00:00"/>
    <n v="77.727999999999994"/>
    <n v="38.596200000000003"/>
    <m/>
    <s v="DK HDFC NRO"/>
    <s v="Long Term"/>
    <x v="0"/>
    <n v="3000.0054335999998"/>
    <s v="DK"/>
  </r>
  <r>
    <s v="10121489"/>
    <s v="INF879O01027"/>
    <d v="2018-11-22T00:00:00"/>
    <n v="42.390999999999998"/>
    <n v="23.59"/>
    <m/>
    <s v="DK HDFC NRO"/>
    <s v="Long Term"/>
    <x v="3"/>
    <n v="1000.00369"/>
    <s v="DK"/>
  </r>
  <r>
    <s v="18968155"/>
    <s v="INF200K01QX4"/>
    <d v="2018-11-22T00:00:00"/>
    <n v="78.239999999999995"/>
    <n v="38.343800000000002"/>
    <m/>
    <s v="DK HDFC NRO"/>
    <s v="Long Term"/>
    <x v="0"/>
    <n v="3000.018912"/>
    <s v="DK"/>
  </r>
  <r>
    <s v="4183002"/>
    <s v="INF277K01QO1"/>
    <d v="2018-11-22T00:00:00"/>
    <n v="67.751000000000005"/>
    <n v="29.5199"/>
    <m/>
    <s v="DK HDFC NRO"/>
    <s v="Wipro-PF"/>
    <x v="2"/>
    <n v="2000.0027449000002"/>
    <s v="DK"/>
  </r>
  <r>
    <s v="499183354147"/>
    <s v="INF204K01K15"/>
    <d v="2018-11-27T00:00:00"/>
    <n v="59.637999999999998"/>
    <n v="41.919899999999998"/>
    <m/>
    <s v="DK HDFC NRO"/>
    <m/>
    <x v="1"/>
    <n v="2500.0189961999999"/>
    <s v="DK"/>
  </r>
  <r>
    <s v="18968155"/>
    <s v="INF200K01QX4"/>
    <d v="2018-12-05T00:00:00"/>
    <n v="155.71700000000001"/>
    <n v="38.531500000000001"/>
    <m/>
    <s v="DK HDFC NRO"/>
    <s v="Long Term"/>
    <x v="0"/>
    <n v="6000.0095855000009"/>
    <s v="DK"/>
  </r>
  <r>
    <s v="4183002"/>
    <s v="INF277K01QO1"/>
    <d v="2018-12-05T00:00:00"/>
    <n v="33.213000000000001"/>
    <n v="30.108799999999999"/>
    <m/>
    <s v="DK HDFC NRO"/>
    <s v="Wipro-PF"/>
    <x v="2"/>
    <n v="1000.0035743999999"/>
    <s v="DK"/>
  </r>
  <r>
    <s v="10121489"/>
    <s v="INF879O01027"/>
    <d v="2018-12-06T00:00:00"/>
    <n v="83.641000000000005"/>
    <n v="23.9116"/>
    <m/>
    <s v="DK HDFC NRO"/>
    <s v="Long Term"/>
    <x v="3"/>
    <n v="1999.9901356"/>
    <s v="DK"/>
  </r>
  <r>
    <s v="18968155"/>
    <s v="INF200K01QX4"/>
    <d v="2018-12-06T00:00:00"/>
    <n v="210.791"/>
    <n v="37.952199999999998"/>
    <m/>
    <s v="DK HDFC NRO"/>
    <s v="Long Term"/>
    <x v="0"/>
    <n v="7999.9821901999994"/>
    <s v="DK"/>
  </r>
  <r>
    <s v="4183002"/>
    <s v="INF277K01QO1"/>
    <d v="2018-12-06T00:00:00"/>
    <n v="1178.693"/>
    <n v="29.693899999999999"/>
    <m/>
    <s v="DK HDFC NRO"/>
    <s v="Wipro-PF"/>
    <x v="2"/>
    <n v="34999.992072699999"/>
    <s v="DK"/>
  </r>
  <r>
    <s v="10121489"/>
    <s v="INF879O01027"/>
    <d v="2018-12-10T00:00:00"/>
    <n v="84.231999999999999"/>
    <n v="23.744"/>
    <m/>
    <s v="DK HDFC NRO"/>
    <s v="Long Term"/>
    <x v="3"/>
    <n v="2000.004608"/>
    <s v="DK"/>
  </r>
  <r>
    <s v="18968155"/>
    <s v="INF200K01QX4"/>
    <d v="2018-12-10T00:00:00"/>
    <n v="133.05099999999999"/>
    <n v="37.579500000000003"/>
    <m/>
    <s v="DK HDFC NRO"/>
    <s v="Long Term"/>
    <x v="0"/>
    <n v="4999.9900545"/>
    <s v="DK"/>
  </r>
  <r>
    <s v="4183002"/>
    <s v="INF277K01QO1"/>
    <d v="2018-12-10T00:00:00"/>
    <n v="850.11500000000001"/>
    <n v="29.407800000000002"/>
    <m/>
    <s v="DK HDFC NRO"/>
    <s v="Wipro-PF"/>
    <x v="2"/>
    <n v="25000.011897"/>
    <s v="DK"/>
  </r>
  <r>
    <s v="10121489"/>
    <s v="INF879O01027"/>
    <d v="2018-12-21T00:00:00"/>
    <n v="41.844999999999999"/>
    <n v="23.8979"/>
    <m/>
    <s v="DK HDFC NRO"/>
    <s v="Long Term"/>
    <x v="3"/>
    <n v="1000.0076255"/>
    <s v="DK"/>
  </r>
  <r>
    <s v="18968155"/>
    <s v="INF200K01QX4"/>
    <d v="2018-12-26T00:00:00"/>
    <n v="128.70500000000001"/>
    <n v="38.848399999999998"/>
    <m/>
    <s v="DK HDFC NRO"/>
    <s v="Long Term"/>
    <x v="0"/>
    <n v="4999.983322"/>
    <s v="DK"/>
  </r>
  <r>
    <s v="10121489"/>
    <s v="INF879O01027"/>
    <d v="2019-01-02T00:00:00"/>
    <n v="83.207999999999998"/>
    <n v="24.036100000000001"/>
    <m/>
    <s v="DK HDFC NRO"/>
    <s v="Long Term"/>
    <x v="3"/>
    <n v="1999.9958088000001"/>
    <s v="DK"/>
  </r>
  <r>
    <s v="499183354147"/>
    <s v="INF204K01K15"/>
    <d v="2019-01-04T00:00:00"/>
    <n v="71.789000000000001"/>
    <n v="41.789099999999998"/>
    <m/>
    <s v="DK HDFC NRO"/>
    <m/>
    <x v="1"/>
    <n v="2999.9976999"/>
    <s v="DK"/>
  </r>
  <r>
    <s v="18968155"/>
    <s v="INF200K01QX4"/>
    <d v="2019-01-11T00:00:00"/>
    <n v="51.115000000000002"/>
    <n v="39.127800000000001"/>
    <m/>
    <s v="DK HDFC NRO"/>
    <s v="Long Term"/>
    <x v="0"/>
    <n v="2000.017497"/>
    <s v="DK"/>
  </r>
  <r>
    <s v="19915197402"/>
    <s v="INF760K01EI4"/>
    <d v="2019-01-17T00:00:00"/>
    <n v="52.77"/>
    <n v="94.75"/>
    <m/>
    <s v="DK HDFC NRO"/>
    <s v="DK Long Term"/>
    <x v="4"/>
    <n v="4999.9575000000004"/>
    <s v="DK"/>
  </r>
  <r>
    <s v="19915197402"/>
    <s v="INF760K01EI4"/>
    <d v="2019-01-22T00:00:00"/>
    <n v="53.247999999999998"/>
    <n v="93.9"/>
    <m/>
    <s v="DK HDFC NRO"/>
    <s v="DK Long Term"/>
    <x v="4"/>
    <n v="4999.9872000000005"/>
    <s v="DK"/>
  </r>
  <r>
    <s v="10121489"/>
    <s v="INF879O01027"/>
    <d v="2019-01-22T00:00:00"/>
    <n v="82.391999999999996"/>
    <n v="24.274100000000001"/>
    <m/>
    <s v="DK HDFC NRO"/>
    <s v="Long Term"/>
    <x v="3"/>
    <n v="1999.9916472"/>
    <s v="DK"/>
  </r>
  <r>
    <s v="18968155"/>
    <s v="INF200K01QX4"/>
    <d v="2019-01-22T00:00:00"/>
    <n v="51.404000000000003"/>
    <n v="38.907800000000002"/>
    <m/>
    <s v="DK HDFC NRO"/>
    <s v="Long Term"/>
    <x v="0"/>
    <n v="2000.0165512000003"/>
    <s v="DK"/>
  </r>
  <r>
    <s v="19915197402"/>
    <s v="INF760K01EI4"/>
    <d v="2019-01-23T00:00:00"/>
    <n v="213.92699999999999"/>
    <n v="93.49"/>
    <m/>
    <s v="DK HDFC NRO"/>
    <s v="DK Long Term"/>
    <x v="4"/>
    <n v="20000.035229999998"/>
    <s v="DK"/>
  </r>
  <r>
    <s v="10121489"/>
    <s v="INF879O01027"/>
    <d v="2019-01-23T00:00:00"/>
    <n v="124.236"/>
    <n v="24.147500000000001"/>
    <m/>
    <s v="DK HDFC NRO"/>
    <s v="Long Term"/>
    <x v="3"/>
    <n v="2999.9888100000003"/>
    <s v="DK"/>
  </r>
  <r>
    <s v="18968155"/>
    <s v="INF200K01QX4"/>
    <d v="2019-01-23T00:00:00"/>
    <n v="155.77000000000001"/>
    <n v="38.518300000000004"/>
    <m/>
    <s v="DK HDFC NRO"/>
    <s v="Long Term"/>
    <x v="0"/>
    <n v="5999.9955910000008"/>
    <s v="DK"/>
  </r>
  <r>
    <s v="19915197402"/>
    <s v="INF760K01EI4"/>
    <d v="2019-01-25T00:00:00"/>
    <n v="215.54"/>
    <n v="92.79"/>
    <m/>
    <s v="DK HDFC NRO"/>
    <s v="DK Long Term"/>
    <x v="4"/>
    <n v="19999.956600000001"/>
    <s v="DK"/>
  </r>
  <r>
    <s v="4183002"/>
    <s v="INF277K01QO1"/>
    <d v="2019-01-25T00:00:00"/>
    <n v="168.602"/>
    <n v="29.6556"/>
    <m/>
    <s v="DK HDFC NRO"/>
    <s v="Wipro-PF"/>
    <x v="2"/>
    <n v="4999.9934712000004"/>
    <s v="DK"/>
  </r>
  <r>
    <s v="19915197402"/>
    <s v="INF760K01EI4"/>
    <d v="2019-01-28T00:00:00"/>
    <n v="272.56900000000002"/>
    <n v="91.72"/>
    <m/>
    <s v="DK HDFC NRO"/>
    <s v="DK Long Term"/>
    <x v="4"/>
    <n v="25000.028679999999"/>
    <s v="DK"/>
  </r>
  <r>
    <s v="19915197402"/>
    <s v="INF760K01EI4"/>
    <d v="2019-01-29T00:00:00"/>
    <n v="1363.289"/>
    <n v="91.69"/>
    <m/>
    <s v="DK HDFC NRO"/>
    <s v="DK Long Term"/>
    <x v="4"/>
    <n v="124999.96841"/>
    <s v="DK"/>
  </r>
  <r>
    <s v="10121489"/>
    <s v="INF879O01027"/>
    <d v="2019-01-29T00:00:00"/>
    <n v="83.2"/>
    <n v="24.038399999999999"/>
    <m/>
    <s v="DK HDFC NRO"/>
    <s v="Long Term"/>
    <x v="3"/>
    <n v="1999.99488"/>
    <s v="DK"/>
  </r>
  <r>
    <s v="18968155"/>
    <s v="INF200K01QX4"/>
    <d v="2019-01-29T00:00:00"/>
    <n v="132.36099999999999"/>
    <n v="37.775599999999997"/>
    <m/>
    <s v="DK HDFC NRO"/>
    <s v="Long Term"/>
    <x v="0"/>
    <n v="5000.0161915999988"/>
    <s v="DK"/>
  </r>
  <r>
    <s v="4183002"/>
    <s v="INF277K01QO1"/>
    <d v="2019-01-29T00:00:00"/>
    <n v="170.655"/>
    <n v="29.2988"/>
    <m/>
    <s v="DK HDFC NRO"/>
    <s v="Wipro-PF"/>
    <x v="2"/>
    <n v="4999.9867139999997"/>
    <s v="DK"/>
  </r>
  <r>
    <s v="19915197402"/>
    <s v="INF760K01EI4"/>
    <d v="2019-02-08T00:00:00"/>
    <n v="53.35"/>
    <n v="93.72"/>
    <m/>
    <s v="DK HDFC NRO"/>
    <s v="DK Long Term"/>
    <x v="4"/>
    <n v="4999.9620000000004"/>
    <s v="DK"/>
  </r>
  <r>
    <s v="10121489"/>
    <s v="INF879O01027"/>
    <d v="2019-02-08T00:00:00"/>
    <n v="40.450000000000003"/>
    <n v="24.722100000000001"/>
    <m/>
    <s v="DK HDFC NRO"/>
    <s v="Long Term"/>
    <x v="3"/>
    <n v="1000.0089450000002"/>
    <s v="DK"/>
  </r>
  <r>
    <s v="18968155"/>
    <s v="INF200K01QX4"/>
    <d v="2019-02-08T00:00:00"/>
    <n v="25.88"/>
    <n v="38.640500000000003"/>
    <m/>
    <s v="DK HDFC NRO"/>
    <s v="Long Term"/>
    <x v="0"/>
    <n v="1000.0161400000001"/>
    <s v="DK"/>
  </r>
  <r>
    <s v="4183002"/>
    <s v="INF277K01QO1"/>
    <d v="2019-02-08T00:00:00"/>
    <n v="167.28"/>
    <n v="29.89"/>
    <m/>
    <s v="DK HDFC NRO"/>
    <s v="Wipro-PF"/>
    <x v="2"/>
    <n v="4999.9992000000002"/>
    <s v="DK"/>
  </r>
  <r>
    <s v="19915197402"/>
    <s v="INF760K01EI4"/>
    <d v="2019-02-11T00:00:00"/>
    <n v="53.862000000000002"/>
    <n v="92.83"/>
    <m/>
    <s v="DK HDFC NRO"/>
    <s v="DK Long Term"/>
    <x v="4"/>
    <n v="5000.0094600000002"/>
    <s v="DK"/>
  </r>
  <r>
    <s v="499183354147"/>
    <s v="INF204K01K15"/>
    <d v="2019-02-11T00:00:00"/>
    <n v="76.787999999999997"/>
    <n v="39.068800000000003"/>
    <m/>
    <s v="DK HDFC NRO"/>
    <m/>
    <x v="1"/>
    <n v="3000.0150143999999"/>
    <s v="DK"/>
  </r>
  <r>
    <s v="10121489"/>
    <s v="INF879O01027"/>
    <d v="2019-02-11T00:00:00"/>
    <n v="40.478999999999999"/>
    <n v="24.7042"/>
    <m/>
    <s v="DK HDFC NRO"/>
    <s v="Long Term"/>
    <x v="3"/>
    <n v="1000.0013117999999"/>
    <s v="DK"/>
  </r>
  <r>
    <s v="18968155"/>
    <s v="INF200K01QX4"/>
    <d v="2019-02-11T00:00:00"/>
    <n v="26.13"/>
    <n v="38.270299999999999"/>
    <m/>
    <s v="DK HDFC NRO"/>
    <s v="Long Term"/>
    <x v="0"/>
    <n v="1000.002939"/>
    <s v="DK"/>
  </r>
  <r>
    <s v="19915197402"/>
    <s v="INF760K01EI4"/>
    <d v="2019-02-12T00:00:00"/>
    <n v="432.52600000000001"/>
    <n v="92.48"/>
    <m/>
    <s v="DK HDFC NRO"/>
    <s v="DK Long Term"/>
    <x v="4"/>
    <n v="40000.004480000003"/>
    <s v="DK"/>
  </r>
  <r>
    <s v="10121489"/>
    <s v="INF879O01027"/>
    <d v="2019-02-12T00:00:00"/>
    <n v="81.137"/>
    <n v="24.649699999999999"/>
    <m/>
    <s v="DK HDFC NRO"/>
    <s v="Long Term"/>
    <x v="3"/>
    <n v="2000.0027089"/>
    <s v="DK"/>
  </r>
  <r>
    <s v="19915197402"/>
    <s v="INF760K01EI4"/>
    <d v="2019-02-14T00:00:00"/>
    <n v="543.77379010331697"/>
    <n v="91.95"/>
    <m/>
    <s v="DK HDFC NRO"/>
    <s v="DK Long Term"/>
    <x v="4"/>
    <n v="50000"/>
    <s v="DK"/>
  </r>
  <r>
    <s v="10121489"/>
    <s v="INF879O01027"/>
    <d v="2019-02-14T00:00:00"/>
    <n v="161.23099999999999"/>
    <n v="24.809200000000001"/>
    <m/>
    <s v="DK HDFC NRO"/>
    <s v="Long Term"/>
    <x v="3"/>
    <n v="4000.0121251999999"/>
    <s v="DK"/>
  </r>
  <r>
    <s v="18968155"/>
    <s v="INF200K01QX4"/>
    <d v="2019-02-14T00:00:00"/>
    <n v="52.948999999999998"/>
    <n v="37.772399999999998"/>
    <m/>
    <s v="DK HDFC NRO"/>
    <s v="Long Term"/>
    <x v="0"/>
    <n v="2000.0108075999999"/>
    <s v="DK"/>
  </r>
  <r>
    <s v="4183002"/>
    <s v="INF277K01QO1"/>
    <d v="2019-02-14T00:00:00"/>
    <n v="169.518"/>
    <n v="29.4954"/>
    <m/>
    <s v="DK HDFC NRO"/>
    <s v="Wipro-PF"/>
    <x v="2"/>
    <n v="5000.0012171999997"/>
    <s v="DK"/>
  </r>
  <r>
    <s v="19915197402"/>
    <s v="INF760K01EI4"/>
    <d v="2019-02-15T00:00:00"/>
    <n v="109.087"/>
    <n v="91.67"/>
    <m/>
    <s v="DK HDFC NRO"/>
    <s v="DK Long Term"/>
    <x v="4"/>
    <n v="10000.005290000001"/>
    <s v="DK"/>
  </r>
  <r>
    <s v="10121489"/>
    <s v="INF879O01027"/>
    <d v="2019-02-15T00:00:00"/>
    <n v="80.953999999999994"/>
    <n v="24.705300000000001"/>
    <m/>
    <s v="DK HDFC NRO"/>
    <s v="Long Term"/>
    <x v="3"/>
    <n v="1999.9928562"/>
    <s v="DK"/>
  </r>
  <r>
    <s v="19915197402"/>
    <s v="INF760K01EI4"/>
    <d v="2019-02-19T00:00:00"/>
    <n v="54.914999999999999"/>
    <n v="91.05"/>
    <m/>
    <s v="DK HDFC NRO"/>
    <s v="DK Long Term"/>
    <x v="4"/>
    <n v="5000.0107499999995"/>
    <s v="DK"/>
  </r>
  <r>
    <s v="10121489"/>
    <s v="INF879O01027"/>
    <d v="2019-02-19T00:00:00"/>
    <n v="40.57"/>
    <n v="24.648800000000001"/>
    <m/>
    <s v="DK HDFC NRO"/>
    <s v="Long Term"/>
    <x v="3"/>
    <n v="1000.0018160000001"/>
    <s v="DK"/>
  </r>
  <r>
    <s v="499183354147"/>
    <s v="INF204K01K15"/>
    <d v="2019-03-11T00:00:00"/>
    <n v="70.917000000000002"/>
    <n v="42.302700000000002"/>
    <m/>
    <s v="DK HDFC NRO"/>
    <m/>
    <x v="1"/>
    <n v="2999.9805759000001"/>
    <s v="DK"/>
  </r>
  <r>
    <s v="19915197402"/>
    <s v="INF760K01EI4"/>
    <d v="2019-03-22T00:00:00"/>
    <n v="50.741"/>
    <n v="98.54"/>
    <m/>
    <s v="DK HDFC NRO"/>
    <s v="DK Long Term"/>
    <x v="4"/>
    <n v="5000.0181400000001"/>
    <s v="DK"/>
  </r>
  <r>
    <s v="10121489"/>
    <s v="INF879O01027"/>
    <d v="2019-03-22T00:00:00"/>
    <n v="77.942999999999998"/>
    <n v="25.659800000000001"/>
    <m/>
    <s v="DK HDFC NRO"/>
    <s v="Long Term"/>
    <x v="3"/>
    <n v="2000.0017914"/>
    <s v="DK"/>
  </r>
  <r>
    <s v="18968155"/>
    <s v="INF200K01QX4"/>
    <d v="2019-03-22T00:00:00"/>
    <n v="24.550999999999998"/>
    <n v="40.730899999999998"/>
    <m/>
    <s v="DK HDFC NRO"/>
    <s v="Long Term"/>
    <x v="0"/>
    <n v="999.98432589999993"/>
    <s v="DK"/>
  </r>
  <r>
    <s v="19915197402"/>
    <s v="INF760K01EI4"/>
    <d v="2019-03-25T00:00:00"/>
    <n v="102.249"/>
    <n v="97.8"/>
    <m/>
    <s v="DK HDFC NRO"/>
    <s v="DK Long Term"/>
    <x v="4"/>
    <n v="9999.9521999999997"/>
    <s v="DK"/>
  </r>
  <r>
    <s v="10121489"/>
    <s v="INF879O01027"/>
    <d v="2019-03-25T00:00:00"/>
    <n v="78.611999999999995"/>
    <n v="25.441500000000001"/>
    <m/>
    <s v="DK HDFC NRO"/>
    <s v="Long Term"/>
    <x v="3"/>
    <n v="2000.007198"/>
    <s v="DK"/>
  </r>
  <r>
    <s v="4183002"/>
    <s v="INF277K01QO1"/>
    <d v="2019-03-25T00:00:00"/>
    <n v="159.39400000000001"/>
    <n v="31.3689"/>
    <m/>
    <s v="DK HDFC NRO"/>
    <s v="Wipro-PF"/>
    <x v="2"/>
    <n v="5000.0144466000002"/>
    <s v="DK"/>
  </r>
  <r>
    <s v="19915197402"/>
    <s v="INF760K01EI4"/>
    <d v="2019-04-02T00:00:00"/>
    <n v="98.863069999999993"/>
    <n v="101.15"/>
    <m/>
    <s v="DK HDFC NRO"/>
    <s v="DK Long Term"/>
    <x v="4"/>
    <n v="9999.9995304999993"/>
    <s v="DK"/>
  </r>
  <r>
    <s v="10121489"/>
    <s v="INF879O01027"/>
    <d v="2019-04-02T00:00:00"/>
    <n v="116.167"/>
    <n v="25.824999999999999"/>
    <m/>
    <s v="DK HDFC NRO"/>
    <s v="Long Term"/>
    <x v="3"/>
    <n v="3000.0127750000001"/>
    <s v="DK"/>
  </r>
  <r>
    <s v="18968155"/>
    <s v="INF200K01QX4"/>
    <d v="2019-04-02T00:00:00"/>
    <n v="120.15300000000001"/>
    <n v="41.613599999999998"/>
    <m/>
    <s v="DK HDFC NRO"/>
    <s v="Long Term"/>
    <x v="0"/>
    <n v="4999.9988807999998"/>
    <s v="DK"/>
  </r>
  <r>
    <s v="4183002"/>
    <s v="INF277K01QO1"/>
    <d v="2019-04-02T00:00:00"/>
    <n v="155.226"/>
    <n v="32.210999999999999"/>
    <m/>
    <s v="DK HDFC NRO"/>
    <s v="Wipro-PF"/>
    <x v="2"/>
    <n v="4999.9846859999998"/>
    <s v="DK"/>
  </r>
  <r>
    <s v="19915197402"/>
    <s v="INF760K01EI4"/>
    <d v="2019-04-04T00:00:00"/>
    <n v="9.9570000000000007"/>
    <n v="100.43"/>
    <m/>
    <s v="DK HDFC NRO"/>
    <s v="DK Long Term"/>
    <x v="4"/>
    <n v="999.98151000000018"/>
    <s v="DK"/>
  </r>
  <r>
    <s v="10121489"/>
    <s v="INF879O01027"/>
    <d v="2019-04-04T00:00:00"/>
    <n v="193.92599999999999"/>
    <n v="25.783000000000001"/>
    <m/>
    <s v="DK HDFC NRO"/>
    <s v="Long Term"/>
    <x v="3"/>
    <n v="4999.9940580000002"/>
    <s v="DK"/>
  </r>
  <r>
    <s v="4183002"/>
    <s v="INF277K01QO1"/>
    <d v="2019-04-04T00:00:00"/>
    <n v="156.506"/>
    <n v="31.947700000000001"/>
    <m/>
    <s v="DK HDFC NRO"/>
    <s v="Wipro-PF"/>
    <x v="2"/>
    <n v="5000.0067362"/>
    <s v="DK"/>
  </r>
  <r>
    <s v="19915197402"/>
    <s v="INF760K01EI4"/>
    <d v="2019-04-08T00:00:00"/>
    <n v="290.40699999999998"/>
    <n v="99.86"/>
    <m/>
    <s v="DK HDFC NRO"/>
    <s v="DK Long Term"/>
    <x v="4"/>
    <n v="29000.043019999997"/>
    <s v="DK"/>
  </r>
  <r>
    <s v="10121489"/>
    <s v="INF879O01027"/>
    <d v="2019-04-08T00:00:00"/>
    <n v="387.12599999999998"/>
    <n v="25.831399999999999"/>
    <m/>
    <s v="DK HDFC NRO"/>
    <s v="Long Term"/>
    <x v="3"/>
    <n v="10000.0065564"/>
    <s v="DK"/>
  </r>
  <r>
    <n v="18917658"/>
    <s v="INF200K01QX4"/>
    <d v="2019-04-09T00:00:00"/>
    <n v="120.548"/>
    <n v="41.4771"/>
    <m/>
    <s v="RS SBI"/>
    <s v="Long Term"/>
    <x v="0"/>
    <n v="4999.9814507999999"/>
    <s v="RS"/>
  </r>
  <r>
    <s v="19915197402"/>
    <s v="INF760K01EI4"/>
    <d v="2019-04-10T00:00:00"/>
    <n v="300.75200000000001"/>
    <n v="99.75"/>
    <m/>
    <s v="DK HDFC NRO"/>
    <s v="DK Long Term"/>
    <x v="4"/>
    <n v="30000.012000000002"/>
    <s v="DK"/>
  </r>
  <r>
    <s v="499183354147"/>
    <s v="INF204K01K15"/>
    <d v="2019-04-10T00:00:00"/>
    <n v="70.048000000000002"/>
    <n v="42.8279"/>
    <m/>
    <s v="DK HDFC NRO"/>
    <m/>
    <x v="1"/>
    <n v="3000.0087392"/>
    <s v="DK"/>
  </r>
  <r>
    <s v="10121489"/>
    <s v="INF879O01027"/>
    <d v="2019-04-10T00:00:00"/>
    <n v="387.83300000000003"/>
    <n v="25.784300000000002"/>
    <m/>
    <s v="DK HDFC NRO"/>
    <s v="Long Term"/>
    <x v="3"/>
    <n v="10000.002421900001"/>
    <s v="DK"/>
  </r>
  <r>
    <s v="19915197402"/>
    <s v="INF760K01EI4"/>
    <d v="2019-04-11T00:00:00"/>
    <n v="502.10899999999998"/>
    <n v="99.58"/>
    <m/>
    <s v="DK HDFC NRO"/>
    <s v="DK Long Term"/>
    <x v="4"/>
    <n v="50000.014219999997"/>
    <s v="DK"/>
  </r>
  <r>
    <s v="10121489"/>
    <s v="INF879O01027"/>
    <d v="2019-04-11T00:00:00"/>
    <n v="387.84399999999999"/>
    <n v="25.7837"/>
    <m/>
    <s v="DK HDFC NRO"/>
    <s v="Long Term"/>
    <x v="3"/>
    <n v="10000.0533428"/>
    <s v="DK"/>
  </r>
  <r>
    <s v="18968155"/>
    <s v="INF200K01QX4"/>
    <d v="2019-04-11T00:00:00"/>
    <n v="72.613"/>
    <n v="41.315199999999997"/>
    <m/>
    <s v="DK HDFC NRO"/>
    <s v="Long Term"/>
    <x v="0"/>
    <n v="3000.0206175999997"/>
    <s v="DK"/>
  </r>
  <r>
    <s v="19915197402"/>
    <s v="INF760K01EI4"/>
    <d v="2019-04-18T00:00:00"/>
    <n v="495.54"/>
    <n v="100.9"/>
    <m/>
    <s v="DK HDFC NRO"/>
    <s v="DK Long Term"/>
    <x v="4"/>
    <n v="49999.986000000004"/>
    <s v="DK"/>
  </r>
  <r>
    <s v="10121489"/>
    <s v="INF879O01027"/>
    <d v="2019-04-18T00:00:00"/>
    <n v="382.51400000000001"/>
    <n v="26.142800000000001"/>
    <m/>
    <s v="DK HDFC NRO"/>
    <s v="Long Term"/>
    <x v="3"/>
    <n v="9999.9869992000004"/>
    <s v="DK"/>
  </r>
  <r>
    <s v="18968155"/>
    <s v="INF200K01QX4"/>
    <d v="2019-04-18T00:00:00"/>
    <n v="47.835000000000001"/>
    <n v="41.810099999999998"/>
    <m/>
    <s v="DK HDFC NRO"/>
    <s v="Long Term"/>
    <x v="0"/>
    <n v="1999.9861335000001"/>
    <s v="DK"/>
  </r>
  <r>
    <n v="18917658"/>
    <s v="INF200K01QX4"/>
    <d v="2019-04-18T00:00:00"/>
    <n v="71.753"/>
    <n v="41.810099999999998"/>
    <m/>
    <s v="RS SBI"/>
    <s v="Long Term"/>
    <x v="0"/>
    <n v="3000.0001053000001"/>
    <s v="RS"/>
  </r>
  <r>
    <s v="19915197402"/>
    <s v="INF760K01EI4"/>
    <d v="2019-04-30T00:00:00"/>
    <n v="49.731000000000002"/>
    <n v="100.54"/>
    <m/>
    <s v="DK HDFC NRO"/>
    <s v="DK Long Term"/>
    <x v="4"/>
    <n v="4999.9547400000001"/>
    <s v="DK"/>
  </r>
  <r>
    <s v="10121489"/>
    <s v="INF879O01027"/>
    <d v="2019-04-30T00:00:00"/>
    <n v="191.572"/>
    <n v="26.099900000000002"/>
    <m/>
    <s v="DK HDFC NRO"/>
    <s v="Long Term"/>
    <x v="3"/>
    <n v="5000.0100428000005"/>
    <s v="DK"/>
  </r>
  <r>
    <s v="19915197402"/>
    <s v="INF760K01EI4"/>
    <d v="2019-05-03T00:00:00"/>
    <n v="50.055"/>
    <n v="99.89"/>
    <m/>
    <s v="DK HDFC NRO"/>
    <s v="DK Long Term"/>
    <x v="4"/>
    <n v="4999.99395"/>
    <s v="DK"/>
  </r>
  <r>
    <s v="10121489"/>
    <s v="INF879O01027"/>
    <d v="2019-05-03T00:00:00"/>
    <n v="193.33799999999999"/>
    <n v="25.861499999999999"/>
    <m/>
    <s v="DK HDFC NRO"/>
    <s v="Long Term"/>
    <x v="3"/>
    <n v="5000.010687"/>
    <s v="DK"/>
  </r>
  <r>
    <s v="18968155"/>
    <s v="INF200K01QX4"/>
    <d v="2019-05-03T00:00:00"/>
    <n v="24.013000000000002"/>
    <n v="41.644799999999996"/>
    <m/>
    <s v="DK HDFC NRO"/>
    <s v="Long Term"/>
    <x v="0"/>
    <n v="1000.0165823999999"/>
    <s v="DK"/>
  </r>
  <r>
    <n v="18917658"/>
    <s v="INF200K01QX4"/>
    <d v="2019-05-03T00:00:00"/>
    <n v="24.013000000000002"/>
    <n v="41.644799999999996"/>
    <m/>
    <s v="RS SBI"/>
    <s v="Long Term"/>
    <x v="0"/>
    <n v="1000.0165823999999"/>
    <s v="RS"/>
  </r>
  <r>
    <s v="19915197402"/>
    <s v="INF760K01EI4"/>
    <d v="2019-05-06T00:00:00"/>
    <n v="151.16399999999999"/>
    <n v="99.23"/>
    <m/>
    <s v="DK HDFC NRO"/>
    <s v="DK Long Term"/>
    <x v="4"/>
    <n v="15000.003719999999"/>
    <s v="DK"/>
  </r>
  <r>
    <s v="10121489"/>
    <s v="INF879O01027"/>
    <d v="2019-05-06T00:00:00"/>
    <n v="193.48"/>
    <n v="25.842400000000001"/>
    <m/>
    <s v="DK HDFC NRO"/>
    <s v="Long Term"/>
    <x v="3"/>
    <n v="4999.9875519999996"/>
    <s v="DK"/>
  </r>
  <r>
    <s v="18968155"/>
    <s v="INF200K01QX4"/>
    <d v="2019-05-06T00:00:00"/>
    <n v="48.453000000000003"/>
    <n v="41.277299999999997"/>
    <m/>
    <s v="DK HDFC NRO"/>
    <s v="Long Term"/>
    <x v="0"/>
    <n v="2000.0090169"/>
    <s v="DK"/>
  </r>
  <r>
    <s v="4183002"/>
    <s v="INF277K01QO1"/>
    <d v="2019-05-06T00:00:00"/>
    <n v="157.904"/>
    <n v="31.6648"/>
    <m/>
    <s v="DK HDFC NRO"/>
    <s v="Wipro-PF"/>
    <x v="2"/>
    <n v="4999.9985791999998"/>
    <s v="DK"/>
  </r>
  <r>
    <s v="19915197402"/>
    <s v="INF760K01EI4"/>
    <d v="2019-05-07T00:00:00"/>
    <n v="152.45500000000001"/>
    <n v="98.39"/>
    <m/>
    <s v="DK HDFC NRO"/>
    <s v="DK Long Term"/>
    <x v="4"/>
    <n v="15000.047450000002"/>
    <s v="DK"/>
  </r>
  <r>
    <s v="10121489"/>
    <s v="INF879O01027"/>
    <d v="2019-05-07T00:00:00"/>
    <n v="194.09899999999999"/>
    <n v="25.76"/>
    <m/>
    <s v="DK HDFC NRO"/>
    <s v="Long Term"/>
    <x v="3"/>
    <n v="4999.9902400000001"/>
    <s v="DK"/>
  </r>
  <r>
    <n v="18917658"/>
    <s v="INF200K01QX4"/>
    <d v="2019-05-07T00:00:00"/>
    <n v="48.747999999999998"/>
    <n v="41.027500000000003"/>
    <m/>
    <s v="RS SBI"/>
    <s v="Long Term"/>
    <x v="0"/>
    <n v="2000.00857"/>
    <s v="RS"/>
  </r>
  <r>
    <s v="19915197402"/>
    <s v="INF760K01EI4"/>
    <d v="2019-05-08T00:00:00"/>
    <n v="359.67500000000001"/>
    <n v="97.31"/>
    <m/>
    <s v="DK HDFC NRO"/>
    <s v="DK Long Term"/>
    <x v="4"/>
    <n v="34999.974249999999"/>
    <s v="DK"/>
  </r>
  <r>
    <s v="10121489"/>
    <s v="INF879O01027"/>
    <d v="2019-05-08T00:00:00"/>
    <n v="392.15100000000001"/>
    <n v="25.500399999999999"/>
    <m/>
    <s v="DK HDFC NRO"/>
    <s v="Long Term"/>
    <x v="3"/>
    <n v="10000.007360399999"/>
    <s v="DK"/>
  </r>
  <r>
    <s v="19915197402"/>
    <s v="INF760K01EI4"/>
    <d v="2019-05-09T00:00:00"/>
    <n v="154.43199999999999"/>
    <n v="97.13"/>
    <m/>
    <s v="DK HDFC NRO"/>
    <s v="DK Long Term"/>
    <x v="4"/>
    <n v="14999.980159999997"/>
    <s v="DK"/>
  </r>
  <r>
    <s v="10121489"/>
    <s v="INF879O01027"/>
    <d v="2019-05-09T00:00:00"/>
    <n v="196.166"/>
    <n v="25.488600000000002"/>
    <m/>
    <s v="DK HDFC NRO"/>
    <s v="Long Term"/>
    <x v="3"/>
    <n v="4999.9967076000003"/>
    <s v="DK"/>
  </r>
  <r>
    <s v="499183354147"/>
    <s v="INF204K01K15"/>
    <d v="2019-05-10T00:00:00"/>
    <n v="72.957999999999998"/>
    <n v="41.119500000000002"/>
    <m/>
    <s v="DK HDFC NRO"/>
    <m/>
    <x v="1"/>
    <n v="2999.9964810000001"/>
    <s v="DK"/>
  </r>
  <r>
    <s v="19915197402"/>
    <s v="INF760K01EI4"/>
    <d v="2019-05-13T00:00:00"/>
    <n v="416.75299999999999"/>
    <n v="95.98"/>
    <m/>
    <s v="DK HDFC NRO"/>
    <s v="DK Long Term"/>
    <x v="4"/>
    <n v="39999.952940000003"/>
    <s v="DK"/>
  </r>
  <r>
    <s v="10121489"/>
    <s v="INF879O01027"/>
    <d v="2019-05-13T00:00:00"/>
    <n v="197.553"/>
    <n v="25.309699999999999"/>
    <m/>
    <s v="DK HDFC NRO"/>
    <s v="Long Term"/>
    <x v="3"/>
    <n v="5000.0071640999995"/>
    <s v="DK"/>
  </r>
  <r>
    <s v="19915197402"/>
    <s v="INF760K01EI4"/>
    <d v="2019-05-14T00:00:00"/>
    <n v="414.76600000000002"/>
    <n v="96.44"/>
    <m/>
    <s v="DK HDFC NRO"/>
    <s v="DK Long Term"/>
    <x v="4"/>
    <n v="40000.033040000002"/>
    <s v="DK"/>
  </r>
  <r>
    <s v="19915197402"/>
    <s v="INF760K01EI4"/>
    <d v="2019-05-20T00:00:00"/>
    <n v="448.29599999999999"/>
    <n v="100.38"/>
    <m/>
    <s v="DK HDFC NRO"/>
    <s v="DK Long Term"/>
    <x v="4"/>
    <n v="44999.95248"/>
    <s v="DK"/>
  </r>
  <r>
    <s v="19915197402"/>
    <s v="INF760K01EI4"/>
    <d v="2019-05-21T00:00:00"/>
    <n v="251.155"/>
    <n v="99.54"/>
    <m/>
    <s v="DK HDFC NRO"/>
    <s v="DK Long Term"/>
    <x v="4"/>
    <n v="24999.968700000001"/>
    <s v="DK"/>
  </r>
  <r>
    <s v="19915197402"/>
    <s v="INF760K01EI4"/>
    <d v="2019-05-23T00:00:00"/>
    <n v="402.17200000000003"/>
    <n v="99.46"/>
    <m/>
    <s v="DK HDFC NRO"/>
    <s v="DK Long Term"/>
    <x v="4"/>
    <n v="40000.027119999999"/>
    <s v="DK"/>
  </r>
  <r>
    <s v="19915197402"/>
    <s v="INF760K01EI4"/>
    <d v="2019-05-27T00:00:00"/>
    <n v="962.47299999999996"/>
    <n v="102.86"/>
    <m/>
    <s v="DK HDFC NRO"/>
    <s v="DK Long Term"/>
    <x v="4"/>
    <n v="98999.972779999996"/>
    <s v="DK"/>
  </r>
  <r>
    <s v="19915197402"/>
    <s v="INF760K01EI4"/>
    <d v="2019-05-28T00:00:00"/>
    <n v="281.52600000000001"/>
    <n v="103.01"/>
    <m/>
    <s v="DK HDFC NRO"/>
    <s v="DK Long Term"/>
    <x v="4"/>
    <n v="28999.993260000003"/>
    <s v="DK"/>
  </r>
  <r>
    <s v="19915197402"/>
    <s v="INF760K01EI4"/>
    <d v="2019-05-29T00:00:00"/>
    <n v="215.26400000000001"/>
    <n v="102.2"/>
    <m/>
    <s v="DK HDFC NRO"/>
    <s v="DK Long Term"/>
    <x v="4"/>
    <n v="21999.980800000001"/>
    <s v="DK"/>
  </r>
  <r>
    <s v="19915197402"/>
    <s v="INF760K01EI4"/>
    <d v="2019-05-31T00:00:00"/>
    <n v="195.23599999999999"/>
    <n v="102.44"/>
    <m/>
    <s v="DK HDFC NRO"/>
    <s v="DK Long Term"/>
    <x v="4"/>
    <n v="19999.975839999999"/>
    <s v="DK"/>
  </r>
  <r>
    <s v="19915197402"/>
    <s v="INF760K01EI4"/>
    <d v="2019-06-06T00:00:00"/>
    <n v="297.02999999999997"/>
    <n v="101"/>
    <m/>
    <s v="DK HDFC NRO"/>
    <s v="DK Long Term"/>
    <x v="4"/>
    <n v="30000.03"/>
    <s v="DK"/>
  </r>
  <r>
    <s v="10121489"/>
    <s v="INF879O01027"/>
    <d v="2019-06-06T00:00:00"/>
    <n v="78.025000000000006"/>
    <n v="25.632899999999999"/>
    <m/>
    <s v="DK HDFC NRO"/>
    <s v="Long Term"/>
    <x v="3"/>
    <n v="2000.0070225000002"/>
    <s v="DK"/>
  </r>
  <r>
    <s v="18968155"/>
    <s v="INF200K01QX4"/>
    <d v="2019-06-06T00:00:00"/>
    <n v="70.25"/>
    <n v="42.704900000000002"/>
    <m/>
    <s v="DK HDFC NRO"/>
    <s v="Long Term"/>
    <x v="0"/>
    <n v="3000.019225"/>
    <s v="DK"/>
  </r>
  <r>
    <s v="4183002"/>
    <s v="INF277K01QO1"/>
    <d v="2019-06-06T00:00:00"/>
    <n v="76.995999999999995"/>
    <n v="32.469200000000001"/>
    <m/>
    <s v="DK HDFC NRO"/>
    <s v="Wipro-PF"/>
    <x v="2"/>
    <n v="2499.9985231999999"/>
    <s v="DK"/>
  </r>
  <r>
    <n v="18917658"/>
    <s v="INF200K01QX4"/>
    <d v="2019-06-06T00:00:00"/>
    <n v="46.832999999999998"/>
    <n v="42.704900000000002"/>
    <m/>
    <s v="RS SBI"/>
    <s v="Long Term"/>
    <x v="0"/>
    <n v="1999.9985816999999"/>
    <s v="RS"/>
  </r>
  <r>
    <s v="499183354147"/>
    <s v="INF204K01K15"/>
    <d v="2019-06-10T00:00:00"/>
    <n v="70.251999999999995"/>
    <n v="42.703499999999998"/>
    <m/>
    <s v="DK HDFC NRO"/>
    <m/>
    <x v="1"/>
    <n v="3000.0062819999998"/>
    <s v="DK"/>
  </r>
  <r>
    <s v="19915197402"/>
    <s v="INF760K01EI4"/>
    <d v="2019-06-14T00:00:00"/>
    <n v="49.543999999999997"/>
    <n v="100.92"/>
    <m/>
    <s v="DK HDFC NRO"/>
    <s v="DK Long Term"/>
    <x v="4"/>
    <n v="4999.9804800000002"/>
    <s v="DK"/>
  </r>
  <r>
    <s v="10121489"/>
    <s v="INF879O01027"/>
    <d v="2019-06-14T00:00:00"/>
    <n v="115.408"/>
    <n v="25.994700000000002"/>
    <m/>
    <s v="DK HDFC NRO"/>
    <s v="Long Term"/>
    <x v="3"/>
    <n v="2999.9963376000001"/>
    <s v="DK"/>
  </r>
  <r>
    <s v="18968155"/>
    <s v="INF200K01QX4"/>
    <d v="2019-06-14T00:00:00"/>
    <n v="46.850999999999999"/>
    <n v="42.688299999999998"/>
    <m/>
    <s v="DK HDFC NRO"/>
    <s v="Long Term"/>
    <x v="0"/>
    <n v="1999.9895432999999"/>
    <s v="DK"/>
  </r>
  <r>
    <s v="4183002"/>
    <s v="INF277K01QO1"/>
    <d v="2019-06-14T00:00:00"/>
    <n v="77.305000000000007"/>
    <n v="32.339300000000001"/>
    <m/>
    <s v="DK HDFC NRO"/>
    <s v="Wipro-PF"/>
    <x v="2"/>
    <n v="2499.9895865000003"/>
    <s v="DK"/>
  </r>
  <r>
    <s v="18968155"/>
    <s v="INF200K01QX4"/>
    <d v="2019-07-02T00:00:00"/>
    <n v="69.31"/>
    <n v="43.283999999999999"/>
    <m/>
    <s v="DK HDFC NRO"/>
    <s v="Long Term"/>
    <x v="0"/>
    <n v="3000.01404"/>
    <s v="DK"/>
  </r>
  <r>
    <n v="18917658"/>
    <s v="INF200K01QX4"/>
    <d v="2019-07-02T00:00:00"/>
    <n v="23.103000000000002"/>
    <n v="43.283999999999999"/>
    <m/>
    <s v="RS SBI"/>
    <s v="Long Term"/>
    <x v="0"/>
    <n v="999.99025200000005"/>
    <s v="RS"/>
  </r>
  <r>
    <s v="19915197402"/>
    <s v="INF760K01EI4"/>
    <d v="2019-07-05T00:00:00"/>
    <n v="49.776000000000003"/>
    <n v="100.45"/>
    <m/>
    <s v="DK HDFC NRO"/>
    <s v="DK Long Term"/>
    <x v="4"/>
    <n v="4999.9992000000002"/>
    <s v="DK"/>
  </r>
  <r>
    <s v="10121489"/>
    <s v="INF879O01027"/>
    <d v="2019-07-05T00:00:00"/>
    <n v="95.283000000000001"/>
    <n v="26.2377"/>
    <m/>
    <s v="DK HDFC NRO"/>
    <s v="Long Term"/>
    <x v="3"/>
    <n v="2500.0067690999999"/>
    <s v="DK"/>
  </r>
  <r>
    <s v="18968155"/>
    <s v="INF200K01QX4"/>
    <d v="2019-07-05T00:00:00"/>
    <n v="46.537999999999997"/>
    <n v="42.975999999999999"/>
    <m/>
    <s v="DK HDFC NRO"/>
    <s v="Long Term"/>
    <x v="0"/>
    <n v="2000.0170879999998"/>
    <s v="DK"/>
  </r>
  <r>
    <s v="4183002"/>
    <s v="INF277K01QO1"/>
    <d v="2019-07-05T00:00:00"/>
    <n v="76.203000000000003"/>
    <n v="32.807000000000002"/>
    <m/>
    <s v="DK HDFC NRO"/>
    <s v="Wipro-PF"/>
    <x v="2"/>
    <n v="2499.9918210000001"/>
    <s v="DK"/>
  </r>
  <r>
    <n v="18917658"/>
    <s v="INF200K01QX4"/>
    <d v="2019-07-05T00:00:00"/>
    <n v="23.268999999999998"/>
    <n v="42.975999999999999"/>
    <m/>
    <s v="RS SBI"/>
    <s v="Long Term"/>
    <x v="0"/>
    <n v="1000.0085439999999"/>
    <s v="RS"/>
  </r>
  <r>
    <s v="19915197402"/>
    <s v="INF760K01EI4"/>
    <d v="2019-07-09T00:00:00"/>
    <n v="50.756"/>
    <n v="98.51"/>
    <m/>
    <s v="DK HDFC NRO"/>
    <s v="DK Long Term"/>
    <x v="4"/>
    <n v="4999.9735600000004"/>
    <s v="DK"/>
  </r>
  <r>
    <s v="10121489"/>
    <s v="INF879O01027"/>
    <d v="2019-07-09T00:00:00"/>
    <n v="38.585999999999999"/>
    <n v="25.916"/>
    <m/>
    <s v="DK HDFC NRO"/>
    <s v="Long Term"/>
    <x v="3"/>
    <n v="999.994776"/>
    <s v="DK"/>
  </r>
  <r>
    <s v="18968155"/>
    <s v="INF200K01QX4"/>
    <d v="2019-07-09T00:00:00"/>
    <n v="23.728999999999999"/>
    <n v="42.1432"/>
    <m/>
    <s v="DK HDFC NRO"/>
    <s v="Long Term"/>
    <x v="0"/>
    <n v="1000.0159927999999"/>
    <s v="DK"/>
  </r>
  <r>
    <s v="4183002"/>
    <s v="INF277K01QO1"/>
    <d v="2019-07-09T00:00:00"/>
    <n v="31.172000000000001"/>
    <n v="32.079599999999999"/>
    <m/>
    <s v="DK HDFC NRO"/>
    <s v="Wipro-PF"/>
    <x v="2"/>
    <n v="999.98529120000001"/>
    <s v="DK"/>
  </r>
  <r>
    <s v="499183354147"/>
    <s v="INF204K01K15"/>
    <d v="2019-07-11T00:00:00"/>
    <n v="73.882999999999996"/>
    <n v="40.604599999999998"/>
    <m/>
    <s v="DK HDFC NRO"/>
    <m/>
    <x v="1"/>
    <n v="2999.9896617999998"/>
    <s v="DK"/>
  </r>
  <r>
    <s v="19915197402"/>
    <s v="INF760K01EI4"/>
    <d v="2019-07-18T00:00:00"/>
    <n v="51.250999999999998"/>
    <n v="97.56"/>
    <m/>
    <s v="DK HDFC NRO"/>
    <s v="DK Long Term"/>
    <x v="4"/>
    <n v="5000.04756"/>
    <s v="DK"/>
  </r>
  <r>
    <s v="10121489"/>
    <s v="INF879O01027"/>
    <d v="2019-07-18T00:00:00"/>
    <n v="57.631999999999998"/>
    <n v="26.0274"/>
    <m/>
    <s v="DK HDFC NRO"/>
    <s v="Long Term"/>
    <x v="3"/>
    <n v="1500.0111167999999"/>
    <s v="DK"/>
  </r>
  <r>
    <s v="18968155"/>
    <s v="INF200K01QX4"/>
    <d v="2019-07-18T00:00:00"/>
    <n v="23.792000000000002"/>
    <n v="42.0304"/>
    <m/>
    <s v="DK HDFC NRO"/>
    <s v="Long Term"/>
    <x v="0"/>
    <n v="999.98727680000002"/>
    <s v="DK"/>
  </r>
  <r>
    <s v="4183002"/>
    <s v="INF277K01QO1"/>
    <d v="2019-07-18T00:00:00"/>
    <n v="47.026000000000003"/>
    <n v="31.897099999999998"/>
    <m/>
    <s v="DK HDFC NRO"/>
    <s v="Wipro-PF"/>
    <x v="2"/>
    <n v="1499.9930246000001"/>
    <s v="DK"/>
  </r>
  <r>
    <n v="18917658"/>
    <s v="INF200K01QX4"/>
    <d v="2019-07-22T00:00:00"/>
    <n v="121.60299999999999"/>
    <n v="41.1175"/>
    <m/>
    <s v="RS SBI"/>
    <s v="Long Term"/>
    <x v="0"/>
    <n v="5000.0113524999997"/>
    <s v="RS"/>
  </r>
  <r>
    <s v="19915197402"/>
    <s v="INF760K01EI4"/>
    <d v="2019-07-24T00:00:00"/>
    <n v="52.994"/>
    <n v="94.35"/>
    <m/>
    <s v="DK HDFC NRO"/>
    <s v="DK Long Term"/>
    <x v="4"/>
    <n v="4999.9838999999993"/>
    <s v="DK"/>
  </r>
  <r>
    <s v="10121489"/>
    <s v="INF879O01027"/>
    <d v="2019-07-24T00:00:00"/>
    <n v="39.238999999999997"/>
    <n v="25.4847"/>
    <m/>
    <s v="DK HDFC NRO"/>
    <s v="Long Term"/>
    <x v="3"/>
    <n v="999.99414329999991"/>
    <s v="DK"/>
  </r>
  <r>
    <n v="18917658"/>
    <s v="INF200K01QX4"/>
    <d v="2019-07-24T00:00:00"/>
    <n v="61.323999999999998"/>
    <n v="40.7669"/>
    <m/>
    <s v="RS SBI"/>
    <s v="Long Term"/>
    <x v="0"/>
    <n v="2499.9893755999997"/>
    <s v="RS"/>
  </r>
  <r>
    <s v="19915197402"/>
    <s v="INF760K01EI4"/>
    <d v="2019-07-30T00:00:00"/>
    <n v="53.642000000000003"/>
    <n v="93.21"/>
    <m/>
    <s v="DK HDFC NRO"/>
    <s v="DK Long Term"/>
    <x v="4"/>
    <n v="4999.9708199999995"/>
    <s v="DK"/>
  </r>
  <r>
    <s v="10121489"/>
    <s v="INF879O01027"/>
    <d v="2019-07-30T00:00:00"/>
    <n v="39.21"/>
    <n v="25.503699999999998"/>
    <m/>
    <s v="DK HDFC NRO"/>
    <s v="Long Term"/>
    <x v="3"/>
    <n v="1000.0000769999999"/>
    <s v="DK"/>
  </r>
  <r>
    <s v="18968155"/>
    <s v="INF200K01QX4"/>
    <d v="2019-07-30T00:00:00"/>
    <n v="49.518999999999998"/>
    <n v="40.388599999999997"/>
    <m/>
    <s v="DK HDFC NRO"/>
    <s v="Long Term"/>
    <x v="0"/>
    <n v="2000.0030833999997"/>
    <s v="DK"/>
  </r>
  <r>
    <s v="4183002"/>
    <s v="INF277K01QO1"/>
    <d v="2019-07-30T00:00:00"/>
    <n v="64.606999999999999"/>
    <n v="30.956399999999999"/>
    <m/>
    <s v="DK HDFC NRO"/>
    <s v="Wipro-PF"/>
    <x v="2"/>
    <n v="2000.0001347999998"/>
    <s v="DK"/>
  </r>
  <r>
    <n v="18917658"/>
    <s v="INF200K01QX4"/>
    <d v="2019-07-30T00:00:00"/>
    <n v="37.139000000000003"/>
    <n v="40.388599999999997"/>
    <m/>
    <s v="RS SBI"/>
    <s v="Long Term"/>
    <x v="0"/>
    <n v="1499.9922154000001"/>
    <s v="RS"/>
  </r>
  <r>
    <s v="19915197402"/>
    <s v="INF760K01EI4"/>
    <d v="2019-08-01T00:00:00"/>
    <n v="162.16200000000001"/>
    <n v="92.5"/>
    <m/>
    <s v="DK HDFC NRO"/>
    <s v="DK Long Term"/>
    <x v="4"/>
    <n v="14999.985000000001"/>
    <s v="DK"/>
  </r>
  <r>
    <s v="10121489"/>
    <s v="INF879O01027"/>
    <d v="2019-08-01T00:00:00"/>
    <n v="79.3"/>
    <n v="25.220700000000001"/>
    <m/>
    <s v="DK HDFC NRO"/>
    <s v="Long Term"/>
    <x v="3"/>
    <n v="2000.0015100000001"/>
    <s v="DK"/>
  </r>
  <r>
    <s v="18968155"/>
    <s v="INF200K01QX4"/>
    <d v="2019-08-01T00:00:00"/>
    <n v="24.948"/>
    <n v="40.082700000000003"/>
    <m/>
    <s v="DK HDFC NRO"/>
    <s v="Long Term"/>
    <x v="0"/>
    <n v="999.98319960000003"/>
    <s v="DK"/>
  </r>
  <r>
    <s v="4183002"/>
    <s v="INF277K01QO1"/>
    <d v="2019-08-01T00:00:00"/>
    <n v="48.793999999999997"/>
    <n v="30.741399999999999"/>
    <m/>
    <s v="DK HDFC NRO"/>
    <s v="Wipro-PF"/>
    <x v="2"/>
    <n v="1499.9958715999999"/>
    <s v="DK"/>
  </r>
  <r>
    <n v="18917658"/>
    <s v="INF200K01QX4"/>
    <d v="2019-08-01T00:00:00"/>
    <n v="99.793999999999997"/>
    <n v="40.082700000000003"/>
    <m/>
    <s v="RS SBI"/>
    <s v="Long Term"/>
    <x v="0"/>
    <n v="4000.0129638000003"/>
    <s v="RS"/>
  </r>
  <r>
    <s v="19915197402"/>
    <s v="INF760K01EI4"/>
    <d v="2019-08-07T00:00:00"/>
    <n v="108.956"/>
    <n v="91.78"/>
    <m/>
    <s v="DK HDFC NRO"/>
    <s v="DK Long Term"/>
    <x v="4"/>
    <n v="9999.9816800000008"/>
    <s v="DK"/>
  </r>
  <r>
    <s v="10121489"/>
    <s v="INF879O01027"/>
    <d v="2019-08-07T00:00:00"/>
    <n v="39.805999999999997"/>
    <n v="25.122"/>
    <m/>
    <s v="DK HDFC NRO"/>
    <s v="Long Term"/>
    <x v="3"/>
    <n v="1000.0063319999999"/>
    <s v="DK"/>
  </r>
  <r>
    <s v="18968155"/>
    <s v="INF200K01QX4"/>
    <d v="2019-08-07T00:00:00"/>
    <n v="25.231999999999999"/>
    <n v="39.631799999999998"/>
    <m/>
    <s v="DK HDFC NRO"/>
    <s v="Long Term"/>
    <x v="0"/>
    <n v="999.98957759999996"/>
    <s v="DK"/>
  </r>
  <r>
    <s v="4183002"/>
    <s v="INF277K01QO1"/>
    <d v="2019-08-07T00:00:00"/>
    <n v="49.18"/>
    <n v="30.500499999999999"/>
    <m/>
    <s v="DK HDFC NRO"/>
    <s v="Wipro-PF"/>
    <x v="2"/>
    <n v="1500.01459"/>
    <s v="DK"/>
  </r>
  <r>
    <n v="18917658"/>
    <s v="INF200K01QX4"/>
    <d v="2019-08-07T00:00:00"/>
    <n v="50.465000000000003"/>
    <n v="39.631799999999998"/>
    <m/>
    <s v="RS SBI"/>
    <s v="Long Term"/>
    <x v="0"/>
    <n v="2000.018787"/>
    <s v="RS"/>
  </r>
  <r>
    <s v="19915197402"/>
    <s v="INF760K01EI4"/>
    <d v="2019-08-09T00:00:00"/>
    <n v="53.533000000000001"/>
    <n v="93.4"/>
    <m/>
    <s v="DK HDFC NRO"/>
    <s v="DK Long Term"/>
    <x v="4"/>
    <n v="4999.9822000000004"/>
    <s v="DK"/>
  </r>
  <r>
    <s v="499183354147"/>
    <s v="INF204K01K15"/>
    <d v="2019-08-13T00:00:00"/>
    <n v="80.373000000000005"/>
    <n v="37.326000000000001"/>
    <m/>
    <s v="DK HDFC NRO"/>
    <m/>
    <x v="1"/>
    <n v="3000.002598"/>
    <s v="DK"/>
  </r>
  <r>
    <s v="19915197402"/>
    <s v="INF760K01EI4"/>
    <d v="2019-08-19T00:00:00"/>
    <n v="108.096"/>
    <n v="92.51"/>
    <m/>
    <s v="DK HDFC NRO"/>
    <s v="DK Long Term"/>
    <x v="4"/>
    <n v="9999.9609600000003"/>
    <s v="DK"/>
  </r>
  <r>
    <s v="19915197402"/>
    <s v="INF760K01EI4"/>
    <d v="2019-08-28T00:00:00"/>
    <n v="108.178"/>
    <n v="92.44"/>
    <m/>
    <s v="DK HDFC NRO"/>
    <s v="DK Long Term"/>
    <x v="4"/>
    <n v="9999.9743199999994"/>
    <s v="DK"/>
  </r>
  <r>
    <s v="10121489"/>
    <s v="INF879O01027"/>
    <d v="2019-08-28T00:00:00"/>
    <n v="39.39"/>
    <n v="25.387"/>
    <m/>
    <s v="DK HDFC NRO"/>
    <s v="Long Term"/>
    <x v="3"/>
    <n v="999.99392999999998"/>
    <s v="DK"/>
  </r>
  <r>
    <s v="18968155"/>
    <s v="INF200K01QX4"/>
    <d v="2019-08-28T00:00:00"/>
    <n v="24.831"/>
    <n v="40.271999999999998"/>
    <m/>
    <s v="DK HDFC NRO"/>
    <s v="Long Term"/>
    <x v="0"/>
    <n v="999.99403199999995"/>
    <s v="DK"/>
  </r>
  <r>
    <s v="4183002"/>
    <s v="INF277K01QO1"/>
    <d v="2019-08-28T00:00:00"/>
    <n v="32.218000000000004"/>
    <n v="31.039000000000001"/>
    <m/>
    <s v="DK HDFC NRO"/>
    <s v="Wipro-PF"/>
    <x v="2"/>
    <n v="1000.0145020000001"/>
    <s v="DK"/>
  </r>
  <r>
    <n v="18917658"/>
    <s v="INF200K01QX4"/>
    <d v="2019-08-28T00:00:00"/>
    <n v="49.661999999999999"/>
    <n v="40.271999999999998"/>
    <m/>
    <s v="RS SBI"/>
    <s v="Long Term"/>
    <x v="0"/>
    <n v="1999.9880639999999"/>
    <s v="RS"/>
  </r>
  <r>
    <s v="19915197402"/>
    <s v="INF760K01EI4"/>
    <d v="2019-08-29T00:00:00"/>
    <n v="54.472000000000001"/>
    <n v="91.79"/>
    <m/>
    <s v="DK HDFC NRO"/>
    <s v="DK Long Term"/>
    <x v="4"/>
    <n v="4999.9848800000009"/>
    <s v="DK"/>
  </r>
  <r>
    <s v="10121489"/>
    <s v="INF879O01027"/>
    <d v="2019-08-29T00:00:00"/>
    <n v="39.479999999999997"/>
    <n v="25.329499999999999"/>
    <m/>
    <s v="DK HDFC NRO"/>
    <s v="Long Term"/>
    <x v="3"/>
    <n v="1000.0086599999998"/>
    <s v="DK"/>
  </r>
  <r>
    <s v="4183002"/>
    <s v="INF277K01QO1"/>
    <d v="2019-08-29T00:00:00"/>
    <n v="32.444000000000003"/>
    <n v="30.822299999999998"/>
    <m/>
    <s v="DK HDFC NRO"/>
    <s v="Wipro-PF"/>
    <x v="2"/>
    <n v="999.99870120000003"/>
    <s v="DK"/>
  </r>
  <r>
    <n v="18917658"/>
    <s v="INF200K01QX4"/>
    <d v="2019-08-29T00:00:00"/>
    <n v="50.031999999999996"/>
    <n v="39.974699999999999"/>
    <m/>
    <s v="RS SBI"/>
    <s v="Long Term"/>
    <x v="0"/>
    <n v="2000.0141903999997"/>
    <s v="RS"/>
  </r>
  <r>
    <s v="499183354147"/>
    <s v="INF204K01K15"/>
    <d v="2019-09-11T00:00:00"/>
    <n v="77.471000000000004"/>
    <n v="38.724400000000003"/>
    <m/>
    <s v="DK HDFC NRO"/>
    <m/>
    <x v="1"/>
    <n v="3000.0179924000004"/>
    <s v="DK"/>
  </r>
  <r>
    <s v="19915197402"/>
    <s v="INF760K01EI4"/>
    <d v="2019-09-16T00:00:00"/>
    <n v="53.396000000000001"/>
    <n v="93.64"/>
    <m/>
    <s v="DK HDFC NRO"/>
    <s v="DK Long Term"/>
    <x v="4"/>
    <n v="5000.00144"/>
    <s v="DK"/>
  </r>
  <r>
    <s v="19915197402"/>
    <s v="INF760K01EI4"/>
    <d v="2019-09-17T00:00:00"/>
    <n v="325.94499999999999"/>
    <n v="92.04"/>
    <m/>
    <s v="DK HDFC NRO"/>
    <s v="DK Long Term"/>
    <x v="4"/>
    <n v="29999.977800000001"/>
    <s v="DK"/>
  </r>
  <r>
    <s v="10121489"/>
    <s v="INF879O01027"/>
    <d v="2019-09-17T00:00:00"/>
    <n v="1944.693"/>
    <n v="25.710999999999999"/>
    <m/>
    <s v="DK HDFC NRO"/>
    <s v="Long Term"/>
    <x v="3"/>
    <n v="50000.001722999994"/>
    <s v="DK"/>
  </r>
  <r>
    <s v="10121489"/>
    <s v="INF879O01027"/>
    <d v="2019-09-17T00:00:00"/>
    <n v="58.341000000000001"/>
    <n v="25.710999999999999"/>
    <m/>
    <s v="DK HDFC NRO"/>
    <s v="Long Term"/>
    <x v="3"/>
    <n v="1500.005451"/>
    <s v="DK"/>
  </r>
  <r>
    <s v="18968155"/>
    <s v="INF200K01QX4"/>
    <d v="2019-09-17T00:00:00"/>
    <n v="62.923000000000002"/>
    <n v="39.731000000000002"/>
    <m/>
    <s v="DK HDFC NRO"/>
    <s v="Long Term"/>
    <x v="0"/>
    <n v="2499.9937130000003"/>
    <s v="DK"/>
  </r>
  <r>
    <s v="4183002"/>
    <s v="INF277K01QO1"/>
    <d v="2019-09-17T00:00:00"/>
    <n v="49.042999999999999"/>
    <n v="30.585599999999999"/>
    <m/>
    <s v="DK HDFC NRO"/>
    <s v="Wipro-PF"/>
    <x v="2"/>
    <n v="1500.0095807999999"/>
    <s v="DK"/>
  </r>
  <r>
    <s v="10231846"/>
    <s v="INF879O01027"/>
    <d v="2019-09-17T00:00:00"/>
    <n v="1944.693"/>
    <n v="25.710999999999999"/>
    <m/>
    <s v="RS SBI"/>
    <s v="Long Term"/>
    <x v="3"/>
    <n v="50000.001722999994"/>
    <s v="RS"/>
  </r>
  <r>
    <n v="18917658"/>
    <s v="INF200K01QX4"/>
    <d v="2019-09-17T00:00:00"/>
    <n v="25.169"/>
    <n v="39.731000000000002"/>
    <m/>
    <s v="RS SBI"/>
    <s v="Long Term"/>
    <x v="0"/>
    <n v="999.98953900000004"/>
    <s v="RS"/>
  </r>
  <r>
    <s v="19915197402"/>
    <s v="INF760K01EI4"/>
    <d v="2019-09-19T00:00:00"/>
    <n v="438.83699999999999"/>
    <n v="91.15"/>
    <m/>
    <s v="DK HDFC NRO"/>
    <s v="DK Long Term"/>
    <x v="4"/>
    <n v="39999.992550000003"/>
    <s v="DK"/>
  </r>
  <r>
    <s v="10121489"/>
    <s v="INF879O01027"/>
    <d v="2019-09-19T00:00:00"/>
    <n v="3996.3009999999999"/>
    <n v="25.523599999999998"/>
    <m/>
    <s v="DK HDFC NRO"/>
    <s v="Long Term"/>
    <x v="3"/>
    <n v="101999.98820359999"/>
    <s v="DK"/>
  </r>
  <r>
    <s v="18968155"/>
    <s v="INF200K01QX4"/>
    <d v="2019-09-19T00:00:00"/>
    <n v="38.036000000000001"/>
    <n v="39.436500000000002"/>
    <m/>
    <s v="DK HDFC NRO"/>
    <s v="Long Term"/>
    <x v="0"/>
    <n v="1500.0067140000001"/>
    <s v="DK"/>
  </r>
  <r>
    <s v="4183002"/>
    <s v="INF277K01QO1"/>
    <d v="2019-09-19T00:00:00"/>
    <n v="49.390999999999998"/>
    <n v="30.369900000000001"/>
    <m/>
    <s v="DK HDFC NRO"/>
    <s v="Wipro-PF"/>
    <x v="2"/>
    <n v="1499.9997309"/>
    <s v="DK"/>
  </r>
  <r>
    <s v="10231846"/>
    <s v="INF879O01027"/>
    <d v="2019-09-19T00:00:00"/>
    <n v="1958.971"/>
    <n v="25.523599999999998"/>
    <m/>
    <s v="RS SBI"/>
    <s v="Long Term"/>
    <x v="3"/>
    <n v="49999.992215599996"/>
    <s v="RS"/>
  </r>
  <r>
    <s v="19915197402"/>
    <s v="INF760K01EI4"/>
    <d v="2019-09-20T00:00:00"/>
    <n v="312.82600000000002"/>
    <n v="95.9"/>
    <m/>
    <s v="DK HDFC NRO"/>
    <s v="DK Long Term"/>
    <x v="4"/>
    <n v="30000.013400000003"/>
    <s v="DK"/>
  </r>
  <r>
    <s v="10121489"/>
    <s v="INF879O01027"/>
    <d v="2019-09-20T00:00:00"/>
    <n v="1919.51"/>
    <n v="26.308800000000002"/>
    <m/>
    <s v="DK HDFC NRO"/>
    <s v="Long Term"/>
    <x v="3"/>
    <n v="50500.004688000001"/>
    <s v="DK"/>
  </r>
  <r>
    <s v="18968155"/>
    <s v="INF200K01QX4"/>
    <d v="2019-09-20T00:00:00"/>
    <n v="24.033999999999999"/>
    <n v="41.606900000000003"/>
    <m/>
    <s v="DK HDFC NRO"/>
    <s v="Long Term"/>
    <x v="0"/>
    <n v="999.98023460000002"/>
    <s v="DK"/>
  </r>
  <r>
    <s v="10231846"/>
    <s v="INF879O01027"/>
    <d v="2019-09-20T00:00:00"/>
    <n v="1900.5050000000001"/>
    <n v="26.308800000000002"/>
    <m/>
    <s v="RS SBI"/>
    <s v="Long Term"/>
    <x v="3"/>
    <n v="50000.005944000004"/>
    <s v="RS"/>
  </r>
  <r>
    <s v="19915197402"/>
    <s v="INF760K01EI4"/>
    <d v="2019-09-23T00:00:00"/>
    <n v="303.95100000000002"/>
    <n v="98.7"/>
    <m/>
    <s v="DK HDFC NRO"/>
    <s v="DK Long Term"/>
    <x v="4"/>
    <n v="29999.963700000004"/>
    <s v="DK"/>
  </r>
  <r>
    <s v="10121489"/>
    <s v="INF879O01027"/>
    <d v="2019-09-23T00:00:00"/>
    <n v="7251.6589999999997"/>
    <n v="26.8904"/>
    <m/>
    <s v="DK HDFC NRO"/>
    <s v="Long Term"/>
    <x v="3"/>
    <n v="195000.01117359998"/>
    <s v="DK"/>
  </r>
  <r>
    <s v="10231846"/>
    <s v="INF879O01027"/>
    <d v="2019-09-23T00:00:00"/>
    <n v="1859.4"/>
    <n v="26.8904"/>
    <m/>
    <s v="RS SBI"/>
    <s v="Long Term"/>
    <x v="3"/>
    <n v="50000.009760000001"/>
    <s v="RS"/>
  </r>
  <r>
    <s v="10121489"/>
    <s v="INF879O01027"/>
    <d v="2019-09-25T00:00:00"/>
    <n v="2039.09"/>
    <n v="26.482399999999998"/>
    <m/>
    <s v="DK HDFC NRO"/>
    <s v="Long Term"/>
    <x v="3"/>
    <n v="53999.997015999994"/>
    <s v="DK"/>
  </r>
  <r>
    <s v="10121489"/>
    <s v="INF879O01027"/>
    <d v="2019-09-27T00:00:00"/>
    <n v="2074.665"/>
    <n v="26.510300000000001"/>
    <m/>
    <s v="DK HDFC NRO"/>
    <s v="Long Term"/>
    <x v="3"/>
    <n v="54999.991549500002"/>
    <s v="DK"/>
  </r>
  <r>
    <s v="18968155"/>
    <s v="INF200K01QX4"/>
    <d v="2019-09-27T00:00:00"/>
    <n v="23.481000000000002"/>
    <n v="42.587400000000002"/>
    <m/>
    <s v="DK HDFC NRO"/>
    <s v="Long Term"/>
    <x v="0"/>
    <n v="999.99473940000007"/>
    <s v="DK"/>
  </r>
  <r>
    <s v="4183002"/>
    <s v="INF277K01QO1"/>
    <d v="2019-09-27T00:00:00"/>
    <n v="30.047000000000001"/>
    <n v="33.281199999999998"/>
    <m/>
    <s v="DK HDFC NRO"/>
    <s v="Wipro-PF"/>
    <x v="2"/>
    <n v="1000.0002164"/>
    <s v="DK"/>
  </r>
  <r>
    <s v="10121489"/>
    <s v="INF879O01027"/>
    <d v="2019-09-30T00:00:00"/>
    <n v="3608.5859999999998"/>
    <n v="26.3261"/>
    <m/>
    <s v="DK HDFC NRO"/>
    <s v="Long Term"/>
    <x v="3"/>
    <n v="94999.995894599997"/>
    <s v="DK"/>
  </r>
  <r>
    <s v="18968155"/>
    <s v="INF200K01QX4"/>
    <d v="2019-09-30T00:00:00"/>
    <n v="47.148000000000003"/>
    <n v="42.419199999999996"/>
    <m/>
    <s v="DK HDFC NRO"/>
    <s v="Long Term"/>
    <x v="0"/>
    <n v="1999.9804415999999"/>
    <s v="DK"/>
  </r>
  <r>
    <s v="4183002"/>
    <s v="INF277K01QO1"/>
    <d v="2019-09-30T00:00:00"/>
    <n v="60.378"/>
    <n v="33.124899999999997"/>
    <m/>
    <s v="DK HDFC NRO"/>
    <s v="Wipro-PF"/>
    <x v="2"/>
    <n v="2000.0152121999997"/>
    <s v="DK"/>
  </r>
  <r>
    <s v="10121489"/>
    <s v="INF879O01027"/>
    <d v="2019-10-01T00:00:00"/>
    <n v="5908.9040000000005"/>
    <n v="26.2316"/>
    <m/>
    <s v="DK HDFC NRO"/>
    <s v="Long Term"/>
    <x v="3"/>
    <n v="155000.00616640001"/>
    <s v="DK"/>
  </r>
  <r>
    <s v="18968155"/>
    <s v="INF200K01QX4"/>
    <d v="2019-10-01T00:00:00"/>
    <n v="23.795000000000002"/>
    <n v="42.024799999999999"/>
    <m/>
    <s v="DK HDFC NRO"/>
    <s v="Long Term"/>
    <x v="0"/>
    <n v="999.98011600000007"/>
    <s v="DK"/>
  </r>
  <r>
    <s v="4183002"/>
    <s v="INF277K01QO1"/>
    <d v="2019-10-01T00:00:00"/>
    <n v="30.363"/>
    <n v="32.934399999999997"/>
    <m/>
    <s v="DK HDFC NRO"/>
    <s v="Wipro-PF"/>
    <x v="2"/>
    <n v="999.98718719999988"/>
    <s v="DK"/>
  </r>
  <r>
    <n v="18917658"/>
    <s v="INF200K01QX4"/>
    <d v="2019-10-01T00:00:00"/>
    <n v="23.795000000000002"/>
    <n v="42.024799999999999"/>
    <m/>
    <s v="RS SBI"/>
    <s v="Long Term"/>
    <x v="0"/>
    <n v="999.98011600000007"/>
    <s v="RS"/>
  </r>
  <r>
    <s v="10121489"/>
    <s v="INF879O01027"/>
    <d v="2019-10-04T00:00:00"/>
    <n v="1746.2909999999999"/>
    <n v="25.768899999999999"/>
    <m/>
    <s v="DK HDFC NRO"/>
    <s v="Long Term"/>
    <x v="3"/>
    <n v="44999.998149899999"/>
    <s v="DK"/>
  </r>
  <r>
    <s v="18968155"/>
    <s v="INF200K01QX4"/>
    <d v="2019-10-04T00:00:00"/>
    <n v="24.204999999999998"/>
    <n v="41.313600000000001"/>
    <m/>
    <s v="DK HDFC NRO"/>
    <s v="Long Term"/>
    <x v="0"/>
    <n v="999.99568799999997"/>
    <s v="DK"/>
  </r>
  <r>
    <s v="4183002"/>
    <s v="INF277K01QO1"/>
    <d v="2019-10-04T00:00:00"/>
    <n v="31.053000000000001"/>
    <n v="32.202500000000001"/>
    <m/>
    <s v="DK HDFC NRO"/>
    <s v="Wipro-PF"/>
    <x v="2"/>
    <n v="999.98423250000008"/>
    <s v="DK"/>
  </r>
  <r>
    <s v="499183354147"/>
    <s v="INF204K01K15"/>
    <d v="2019-10-10T00:00:00"/>
    <n v="77.605000000000004"/>
    <n v="38.657400000000003"/>
    <m/>
    <s v="DK HDFC NRO"/>
    <m/>
    <x v="1"/>
    <n v="3000.0075270000002"/>
    <s v="DK"/>
  </r>
  <r>
    <s v="10121489"/>
    <s v="INF879O01027"/>
    <d v="2019-10-10T00:00:00"/>
    <n v="967.71699999999998"/>
    <n v="25.834"/>
    <m/>
    <s v="DK HDFC NRO"/>
    <s v="Long Term"/>
    <x v="3"/>
    <n v="25000.000978"/>
    <s v="DK"/>
  </r>
  <r>
    <s v="10121489"/>
    <s v="INF879O01027"/>
    <d v="2019-11-07T00:00:00"/>
    <n v="1272.2"/>
    <n v="27.511399999999998"/>
    <m/>
    <s v="DK HDFC NRO"/>
    <s v="Long Term"/>
    <x v="3"/>
    <n v="35000.003080000002"/>
    <s v="DK"/>
  </r>
  <r>
    <s v="18968155"/>
    <s v="INF200K01QX4"/>
    <d v="2019-11-07T00:00:00"/>
    <n v="56.860999999999997"/>
    <n v="43.966700000000003"/>
    <m/>
    <s v="DK HDFC NRO"/>
    <s v="Long Term"/>
    <x v="0"/>
    <n v="2499.9905287000001"/>
    <s v="DK"/>
  </r>
  <r>
    <s v="4183002"/>
    <s v="INF277K01QO1"/>
    <d v="2019-11-07T00:00:00"/>
    <n v="72.266000000000005"/>
    <n v="34.5946"/>
    <m/>
    <s v="DK HDFC NRO"/>
    <s v="Wipro-PF"/>
    <x v="2"/>
    <n v="2500.0133636"/>
    <s v="DK"/>
  </r>
  <r>
    <n v="18917658"/>
    <s v="INF200K01QX4"/>
    <d v="2019-11-07T00:00:00"/>
    <n v="45.488999999999997"/>
    <n v="43.966700000000003"/>
    <m/>
    <s v="RS SBI"/>
    <s v="Long Term"/>
    <x v="0"/>
    <n v="2000.0012163000001"/>
    <s v="RS"/>
  </r>
  <r>
    <s v="10121489"/>
    <s v="INF879O01027"/>
    <d v="2019-11-08T00:00:00"/>
    <n v="182.18899999999999"/>
    <n v="27.443999999999999"/>
    <m/>
    <s v="DK HDFC NRO"/>
    <s v="Long Term"/>
    <x v="3"/>
    <n v="4999.9949159999996"/>
    <s v="DK"/>
  </r>
  <r>
    <s v="18968155"/>
    <s v="INF200K01QX4"/>
    <d v="2019-11-08T00:00:00"/>
    <n v="57.206000000000003"/>
    <n v="43.7014"/>
    <m/>
    <s v="DK HDFC NRO"/>
    <s v="Long Term"/>
    <x v="0"/>
    <n v="2499.9822884"/>
    <s v="DK"/>
  </r>
  <r>
    <s v="4183002"/>
    <s v="INF277K01QO1"/>
    <d v="2019-11-08T00:00:00"/>
    <n v="29.056999999999999"/>
    <n v="34.415399999999998"/>
    <m/>
    <s v="DK HDFC NRO"/>
    <s v="Wipro-PF"/>
    <x v="2"/>
    <n v="1000.0082777999999"/>
    <s v="DK"/>
  </r>
  <r>
    <s v="499183354147"/>
    <s v="INF204K01K15"/>
    <d v="2019-11-11T00:00:00"/>
    <n v="73.331999999999994"/>
    <n v="40.9101"/>
    <m/>
    <s v="DK HDFC NRO"/>
    <m/>
    <x v="1"/>
    <n v="3000.0194531999996"/>
    <s v="DK"/>
  </r>
  <r>
    <s v="10121489"/>
    <s v="INF879O01027"/>
    <d v="2019-11-22T00:00:00"/>
    <n v="183.035"/>
    <n v="27.3172"/>
    <m/>
    <s v="DK HDFC NRO"/>
    <s v="Long Term"/>
    <x v="3"/>
    <n v="5000.003702"/>
    <s v="DK"/>
  </r>
  <r>
    <s v="4183002"/>
    <s v="INF277K01QO1"/>
    <d v="2019-11-22T00:00:00"/>
    <n v="43.786999999999999"/>
    <n v="34.256999999999998"/>
    <m/>
    <s v="DK HDFC NRO"/>
    <s v="Wipro-PF"/>
    <x v="2"/>
    <n v="1500.0112589999999"/>
    <s v="DK"/>
  </r>
  <r>
    <s v="10121489"/>
    <s v="INF879O01027"/>
    <d v="2019-11-29T00:00:00"/>
    <n v="724.83699999999999"/>
    <n v="27.592400000000001"/>
    <m/>
    <s v="DK HDFC NRO"/>
    <s v="Long Term"/>
    <x v="3"/>
    <n v="19999.9924388"/>
    <s v="DK"/>
  </r>
  <r>
    <s v="18968155"/>
    <s v="INF200K01QX4"/>
    <d v="2019-11-29T00:00:00"/>
    <n v="22.763000000000002"/>
    <n v="43.931199999999997"/>
    <m/>
    <s v="DK HDFC NRO"/>
    <s v="Long Term"/>
    <x v="0"/>
    <n v="1000.0059056"/>
    <s v="DK"/>
  </r>
  <r>
    <s v="4183002"/>
    <s v="INF277K01QO1"/>
    <d v="2019-11-29T00:00:00"/>
    <n v="28.88"/>
    <n v="34.625900000000001"/>
    <m/>
    <s v="DK HDFC NRO"/>
    <s v="Wipro-PF"/>
    <x v="2"/>
    <n v="999.995992"/>
    <s v="DK"/>
  </r>
  <r>
    <s v="10121489"/>
    <s v="INF879O01027"/>
    <d v="2019-12-03T00:00:00"/>
    <n v="183.709"/>
    <n v="27.216899999999999"/>
    <m/>
    <s v="DK HDFC NRO"/>
    <s v="Long Term"/>
    <x v="3"/>
    <n v="4999.9894820999998"/>
    <s v="DK"/>
  </r>
  <r>
    <s v="18968155"/>
    <s v="INF200K01QX4"/>
    <d v="2019-12-03T00:00:00"/>
    <n v="22.914999999999999"/>
    <n v="43.639299999999999"/>
    <m/>
    <s v="DK HDFC NRO"/>
    <s v="Long Term"/>
    <x v="0"/>
    <n v="999.99455949999992"/>
    <s v="DK"/>
  </r>
  <r>
    <s v="4183002"/>
    <s v="INF277K01QO1"/>
    <d v="2019-12-03T00:00:00"/>
    <n v="28.948"/>
    <n v="34.544600000000003"/>
    <m/>
    <s v="DK HDFC NRO"/>
    <s v="Wipro-PF"/>
    <x v="2"/>
    <n v="999.99708080000005"/>
    <s v="DK"/>
  </r>
  <r>
    <n v="18917658"/>
    <s v="INF200K01QX4"/>
    <d v="2019-12-03T00:00:00"/>
    <n v="45.83"/>
    <n v="43.639299999999999"/>
    <m/>
    <s v="RS SBI"/>
    <s v="Long Term"/>
    <x v="0"/>
    <n v="1999.9891189999998"/>
    <s v="RS"/>
  </r>
  <r>
    <s v="10121489"/>
    <s v="INF879O01027"/>
    <d v="2019-12-04T00:00:00"/>
    <n v="731.74599999999998"/>
    <n v="27.331900000000001"/>
    <m/>
    <s v="DK HDFC NRO"/>
    <s v="Long Term"/>
    <x v="3"/>
    <n v="20000.008497400002"/>
    <s v="DK"/>
  </r>
  <r>
    <s v="18968155"/>
    <s v="INF200K01QX4"/>
    <d v="2019-12-04T00:00:00"/>
    <n v="22.856000000000002"/>
    <n v="43.752400000000002"/>
    <m/>
    <s v="DK HDFC NRO"/>
    <s v="Long Term"/>
    <x v="0"/>
    <n v="1000.0048544000001"/>
    <s v="DK"/>
  </r>
  <r>
    <s v="4183002"/>
    <s v="INF277K01QO1"/>
    <d v="2019-12-04T00:00:00"/>
    <n v="28.899000000000001"/>
    <n v="34.6038"/>
    <m/>
    <s v="DK HDFC NRO"/>
    <s v="Wipro-PF"/>
    <x v="2"/>
    <n v="1000.0152162000001"/>
    <s v="DK"/>
  </r>
  <r>
    <s v="499183354147"/>
    <s v="INF204K01K15"/>
    <d v="2019-12-10T00:00:00"/>
    <n v="75.709000000000003"/>
    <n v="39.625399999999999"/>
    <m/>
    <s v="DK HDFC NRO"/>
    <m/>
    <x v="1"/>
    <n v="2999.9994086000002"/>
    <s v="DK"/>
  </r>
  <r>
    <s v="10121489"/>
    <s v="INF879O01027"/>
    <d v="2019-12-24T00:00:00"/>
    <n v="180.322"/>
    <n v="27.728200000000001"/>
    <m/>
    <s v="DK HDFC NRO"/>
    <s v="Long Term"/>
    <x v="3"/>
    <n v="5000.0044803999999"/>
    <s v="DK"/>
  </r>
  <r>
    <s v="18968155"/>
    <s v="INF200K01QX4"/>
    <d v="2019-12-24T00:00:00"/>
    <n v="22.602"/>
    <n v="44.244199999999999"/>
    <m/>
    <s v="DK HDFC NRO"/>
    <s v="Long Term"/>
    <x v="0"/>
    <n v="1000.0074084"/>
    <s v="DK"/>
  </r>
  <r>
    <s v="4183002"/>
    <s v="INF277K01QO1"/>
    <d v="2019-12-24T00:00:00"/>
    <n v="28.672999999999998"/>
    <n v="34.875500000000002"/>
    <m/>
    <s v="DK HDFC NRO"/>
    <s v="Wipro-PF"/>
    <x v="2"/>
    <n v="999.98521149999999"/>
    <s v="DK"/>
  </r>
  <r>
    <s v="10121489"/>
    <s v="INF879O01027"/>
    <d v="2019-12-30T00:00:00"/>
    <n v="358.46300000000002"/>
    <n v="27.896899999999999"/>
    <m/>
    <s v="DK HDFC NRO"/>
    <s v="Long Term"/>
    <x v="3"/>
    <n v="10000.0064647"/>
    <s v="DK"/>
  </r>
  <r>
    <s v="18968155"/>
    <s v="INF200K01QX4"/>
    <d v="2019-12-30T00:00:00"/>
    <n v="22.497"/>
    <n v="44.45"/>
    <m/>
    <s v="DK HDFC NRO"/>
    <s v="Long Term"/>
    <x v="0"/>
    <n v="999.99165000000005"/>
    <s v="DK"/>
  </r>
  <r>
    <s v="4183002"/>
    <s v="INF277K01QO1"/>
    <d v="2019-12-30T00:00:00"/>
    <n v="28.568000000000001"/>
    <n v="35.004399999999997"/>
    <m/>
    <s v="DK HDFC NRO"/>
    <s v="Wipro-PF"/>
    <x v="2"/>
    <n v="1000.0056992"/>
    <s v="DK"/>
  </r>
  <r>
    <s v="10121489"/>
    <s v="INF879O01027"/>
    <d v="2019-12-31T00:00:00"/>
    <n v="720.83799999999997"/>
    <n v="27.7455"/>
    <m/>
    <s v="DK HDFC NRO"/>
    <s v="Long Term"/>
    <x v="3"/>
    <n v="20000.010728999998"/>
    <s v="DK"/>
  </r>
  <r>
    <s v="10121489"/>
    <s v="INF879O01027"/>
    <d v="2020-01-03T00:00:00"/>
    <n v="357.40199999999999"/>
    <n v="27.979700000000001"/>
    <m/>
    <s v="DK HDFC NRO"/>
    <s v="Long Term"/>
    <x v="3"/>
    <n v="10000.0007394"/>
    <s v="DK"/>
  </r>
  <r>
    <s v="18968155"/>
    <s v="INF200K01QX4"/>
    <d v="2020-01-03T00:00:00"/>
    <n v="45.073999999999998"/>
    <n v="44.371299999999998"/>
    <m/>
    <s v="DK HDFC NRO"/>
    <s v="Long Term"/>
    <x v="0"/>
    <n v="1999.9919761999997"/>
    <s v="DK"/>
  </r>
  <r>
    <s v="4183002"/>
    <s v="INF277K01QO1"/>
    <d v="2020-01-03T00:00:00"/>
    <n v="57.35"/>
    <n v="34.873399999999997"/>
    <m/>
    <s v="DK HDFC NRO"/>
    <s v="Wipro-PF"/>
    <x v="2"/>
    <n v="1999.9894899999999"/>
    <s v="DK"/>
  </r>
  <r>
    <n v="18917658"/>
    <s v="INF200K01QX4"/>
    <d v="2020-01-03T00:00:00"/>
    <n v="45.073999999999998"/>
    <n v="44.371299999999998"/>
    <m/>
    <s v="RS SBI"/>
    <s v="Long Term"/>
    <x v="0"/>
    <n v="1999.9919761999997"/>
    <s v="RS"/>
  </r>
  <r>
    <s v="499183354147"/>
    <s v="INF204K01K15"/>
    <d v="2020-01-10T00:00:00"/>
    <n v="70.108999999999995"/>
    <n v="42.790399999999998"/>
    <m/>
    <s v="DK HDFC NRO"/>
    <m/>
    <x v="1"/>
    <n v="2999.9921535999997"/>
    <s v="DK"/>
  </r>
  <r>
    <s v="10121489"/>
    <s v="INF879O01027"/>
    <d v="2020-01-14T00:00:00"/>
    <n v="353.541"/>
    <n v="28.285299999999999"/>
    <m/>
    <s v="DK HDFC NRO"/>
    <s v="Long Term"/>
    <x v="3"/>
    <n v="10000.013247299999"/>
    <s v="DK"/>
  </r>
  <r>
    <s v="18968155"/>
    <s v="INF200K01QX4"/>
    <d v="2020-01-14T00:00:00"/>
    <n v="33.408000000000001"/>
    <n v="44.9"/>
    <m/>
    <s v="DK HDFC NRO"/>
    <s v="Long Term"/>
    <x v="0"/>
    <n v="1500.0192"/>
    <s v="DK"/>
  </r>
  <r>
    <s v="4183002"/>
    <s v="INF277K01QO1"/>
    <d v="2020-01-14T00:00:00"/>
    <n v="42.427"/>
    <n v="35.354999999999997"/>
    <m/>
    <s v="DK HDFC NRO"/>
    <s v="Wipro-PF"/>
    <x v="2"/>
    <n v="1500.0065849999999"/>
    <s v="DK"/>
  </r>
  <r>
    <s v="10121489"/>
    <s v="INF879O01027"/>
    <d v="2020-01-15T00:00:00"/>
    <n v="176.30500000000001"/>
    <n v="28.3599"/>
    <m/>
    <s v="DK HDFC NRO"/>
    <s v="Long Term"/>
    <x v="3"/>
    <n v="4999.9921695000003"/>
    <s v="DK"/>
  </r>
  <r>
    <s v="18968155"/>
    <s v="INF200K01QX4"/>
    <d v="2020-01-15T00:00:00"/>
    <n v="33.399000000000001"/>
    <n v="44.9114"/>
    <m/>
    <s v="DK HDFC NRO"/>
    <s v="Long Term"/>
    <x v="0"/>
    <n v="1499.9958486"/>
    <s v="DK"/>
  </r>
  <r>
    <s v="4183002"/>
    <s v="INF277K01QO1"/>
    <d v="2020-01-15T00:00:00"/>
    <n v="42.427999999999997"/>
    <n v="35.353999999999999"/>
    <m/>
    <s v="DK HDFC NRO"/>
    <s v="Wipro-PF"/>
    <x v="2"/>
    <n v="1499.9995119999999"/>
    <s v="DK"/>
  </r>
  <r>
    <s v="10121489"/>
    <s v="INF879O01027"/>
    <d v="2020-01-20T00:00:00"/>
    <n v="175.44"/>
    <n v="28.4998"/>
    <m/>
    <s v="DK HDFC NRO"/>
    <s v="Long Term"/>
    <x v="3"/>
    <n v="5000.0049120000003"/>
    <s v="DK"/>
  </r>
  <r>
    <s v="499183354147"/>
    <s v="INF204K01K15"/>
    <d v="2020-02-10T00:00:00"/>
    <n v="67.686999999999998"/>
    <n v="44.321800000000003"/>
    <m/>
    <s v="DK HDFC NRO"/>
    <m/>
    <x v="1"/>
    <n v="3000.0096766000001"/>
    <s v="DK"/>
  </r>
  <r>
    <s v="10121489"/>
    <s v="INF879O01027"/>
    <d v="2020-02-10T00:00:00"/>
    <n v="34.47"/>
    <n v="29.010899999999999"/>
    <m/>
    <s v="DK HDFC NRO"/>
    <s v="Long Term"/>
    <x v="3"/>
    <n v="1000.005723"/>
    <s v="DK"/>
  </r>
  <r>
    <s v="18968155"/>
    <s v="INF200K01QX4"/>
    <d v="2020-02-10T00:00:00"/>
    <n v="22.564"/>
    <n v="44.319000000000003"/>
    <m/>
    <s v="DK HDFC NRO"/>
    <s v="Long Term"/>
    <x v="0"/>
    <n v="1000.0139160000001"/>
    <s v="DK"/>
  </r>
  <r>
    <s v="4183002"/>
    <s v="INF277K01QO1"/>
    <d v="2020-02-10T00:00:00"/>
    <n v="56.277999999999999"/>
    <n v="35.5381"/>
    <m/>
    <s v="DK HDFC NRO"/>
    <s v="Wipro-PF"/>
    <x v="2"/>
    <n v="2000.0131918"/>
    <s v="DK"/>
  </r>
  <r>
    <n v="18917658"/>
    <s v="INF200K01QX4"/>
    <d v="2020-02-10T00:00:00"/>
    <n v="67.691000000000003"/>
    <n v="44.319000000000003"/>
    <m/>
    <s v="RS SBI"/>
    <s v="Long Term"/>
    <x v="0"/>
    <n v="2999.9974290000005"/>
    <s v="RS"/>
  </r>
  <r>
    <s v="10121489"/>
    <s v="INF879O01027"/>
    <d v="2020-02-24T00:00:00"/>
    <n v="34.707000000000001"/>
    <n v="28.812999999999999"/>
    <m/>
    <s v="DK HDFC NRO"/>
    <s v="Long Term"/>
    <x v="3"/>
    <n v="1000.012791"/>
    <s v="DK"/>
  </r>
  <r>
    <s v="18968155"/>
    <s v="INF200K01QX4"/>
    <d v="2020-02-24T00:00:00"/>
    <n v="23.021999999999998"/>
    <n v="43.436"/>
    <m/>
    <s v="DK HDFC NRO"/>
    <s v="Long Term"/>
    <x v="0"/>
    <n v="999.98359199999993"/>
    <s v="DK"/>
  </r>
  <r>
    <s v="4183002"/>
    <s v="INF277K01QO1"/>
    <d v="2020-02-24T00:00:00"/>
    <n v="28.486000000000001"/>
    <n v="35.104500000000002"/>
    <m/>
    <s v="DK HDFC NRO"/>
    <s v="Wipro-PF"/>
    <x v="2"/>
    <n v="999.98678700000005"/>
    <s v="DK"/>
  </r>
  <r>
    <s v="10121489"/>
    <s v="INF879O01027"/>
    <d v="2020-02-27T00:00:00"/>
    <n v="35.722000000000001"/>
    <n v="27.9938"/>
    <m/>
    <s v="DK HDFC NRO"/>
    <s v="Long Term"/>
    <x v="3"/>
    <n v="999.99452360000009"/>
    <s v="DK"/>
  </r>
  <r>
    <s v="18968155"/>
    <s v="INF200K01QX4"/>
    <d v="2020-02-27T00:00:00"/>
    <n v="23.454000000000001"/>
    <n v="42.636299999999999"/>
    <m/>
    <s v="DK HDFC NRO"/>
    <s v="Long Term"/>
    <x v="0"/>
    <n v="999.99178019999999"/>
    <s v="DK"/>
  </r>
  <r>
    <s v="4183002"/>
    <s v="INF277K01QO1"/>
    <d v="2020-02-27T00:00:00"/>
    <n v="28.922999999999998"/>
    <n v="34.5747"/>
    <m/>
    <s v="DK HDFC NRO"/>
    <s v="Wipro-PF"/>
    <x v="2"/>
    <n v="1000.0040481"/>
    <s v="DK"/>
  </r>
  <r>
    <s v="10121489"/>
    <s v="INF879O01027"/>
    <d v="2020-03-06T00:00:00"/>
    <n v="37.283000000000001"/>
    <n v="26.821999999999999"/>
    <m/>
    <s v="DK HDFC NRO"/>
    <s v="Long Term"/>
    <x v="3"/>
    <n v="1000.004626"/>
    <s v="DK"/>
  </r>
  <r>
    <s v="18968155"/>
    <s v="INF200K01QX4"/>
    <d v="2020-03-06T00:00:00"/>
    <n v="24.68"/>
    <n v="40.518999999999998"/>
    <m/>
    <s v="DK HDFC NRO"/>
    <s v="Long Term"/>
    <x v="0"/>
    <n v="1000.00892"/>
    <s v="DK"/>
  </r>
  <r>
    <s v="4183002"/>
    <s v="INF277K01QO1"/>
    <d v="2020-03-06T00:00:00"/>
    <n v="30.273"/>
    <n v="33.033000000000001"/>
    <m/>
    <s v="DK HDFC NRO"/>
    <s v="Wipro-PF"/>
    <x v="2"/>
    <n v="1000.008009"/>
    <s v="DK"/>
  </r>
  <r>
    <s v="10121489"/>
    <s v="INF879O01027"/>
    <d v="2020-03-09T00:00:00"/>
    <n v="38.497"/>
    <n v="25.975899999999999"/>
    <m/>
    <s v="DK HDFC NRO"/>
    <s v="Long Term"/>
    <x v="3"/>
    <n v="999.99422229999993"/>
    <s v="DK"/>
  </r>
  <r>
    <s v="18968155"/>
    <s v="INF200K01QX4"/>
    <d v="2020-03-09T00:00:00"/>
    <n v="25.638000000000002"/>
    <n v="39.003900000000002"/>
    <m/>
    <s v="DK HDFC NRO"/>
    <s v="Long Term"/>
    <x v="0"/>
    <n v="999.98198820000016"/>
    <s v="DK"/>
  </r>
  <r>
    <s v="4183002"/>
    <s v="INF277K01QO1"/>
    <d v="2020-03-09T00:00:00"/>
    <n v="31.448"/>
    <n v="31.798300000000001"/>
    <m/>
    <s v="DK HDFC NRO"/>
    <s v="Wipro-PF"/>
    <x v="2"/>
    <n v="999.99293840000007"/>
    <s v="DK"/>
  </r>
  <r>
    <s v="10231846"/>
    <s v="INF879O01027"/>
    <d v="2020-03-09T00:00:00"/>
    <n v="38.497"/>
    <n v="25.975899999999999"/>
    <m/>
    <s v="RS SBI"/>
    <s v="Long Term"/>
    <x v="3"/>
    <n v="999.99422229999993"/>
    <s v="RS"/>
  </r>
  <r>
    <n v="18917658"/>
    <s v="INF200K01QX4"/>
    <d v="2020-03-09T00:00:00"/>
    <n v="25.638000000000002"/>
    <n v="39.003900000000002"/>
    <m/>
    <s v="RS SBI"/>
    <s v="Long Term"/>
    <x v="0"/>
    <n v="999.98198820000016"/>
    <s v="RS"/>
  </r>
  <r>
    <s v="499183354147"/>
    <s v="INF204K01K15"/>
    <d v="2020-03-10T00:00:00"/>
    <n v="77.462000000000003"/>
    <n v="38.728499999999997"/>
    <m/>
    <s v="DK HDFC NRO"/>
    <m/>
    <x v="1"/>
    <n v="2999.987067"/>
    <s v="DK"/>
  </r>
  <r>
    <s v="10121489"/>
    <s v="INF879O01027"/>
    <d v="2020-03-13T00:00:00"/>
    <n v="41.359000000000002"/>
    <n v="24.1784"/>
    <m/>
    <s v="DK HDFC NRO"/>
    <s v="Long Term"/>
    <x v="3"/>
    <n v="999.99444560000006"/>
    <s v="DK"/>
  </r>
  <r>
    <s v="18968155"/>
    <s v="INF200K01QX4"/>
    <d v="2020-03-13T00:00:00"/>
    <n v="27.123000000000001"/>
    <n v="36.869300000000003"/>
    <m/>
    <s v="DK HDFC NRO"/>
    <s v="Long Term"/>
    <x v="0"/>
    <n v="1000.0060239000001"/>
    <s v="DK"/>
  </r>
  <r>
    <s v="4183002"/>
    <s v="INF277K01QO1"/>
    <d v="2020-03-13T00:00:00"/>
    <n v="32.918999999999997"/>
    <n v="30.377400000000002"/>
    <m/>
    <s v="DK HDFC NRO"/>
    <s v="Wipro-PF"/>
    <x v="2"/>
    <n v="999.99363059999996"/>
    <s v="DK"/>
  </r>
  <r>
    <s v="10231846"/>
    <s v="INF879O01027"/>
    <d v="2020-03-13T00:00:00"/>
    <n v="41.359000000000002"/>
    <n v="24.1784"/>
    <m/>
    <s v="RS SBI"/>
    <s v="Long Term"/>
    <x v="3"/>
    <n v="999.99444560000006"/>
    <s v="RS"/>
  </r>
  <r>
    <s v="4183002"/>
    <s v="INF277K01PK1"/>
    <d v="2020-03-31T00:00:00"/>
    <n v="13.192"/>
    <n v="75.803100000000001"/>
    <m/>
    <s v="DK HDFC NRO"/>
    <s v="Watching"/>
    <x v="5"/>
    <n v="999.99449520000007"/>
    <s v="DK"/>
  </r>
  <r>
    <s v="499183354147"/>
    <s v="INF204K01K15"/>
    <d v="2020-04-13T00:00:00"/>
    <n v="95.875"/>
    <n v="31.290800000000001"/>
    <m/>
    <s v="DK HDFC NRO"/>
    <m/>
    <x v="1"/>
    <n v="3000.0054500000001"/>
    <s v="DK"/>
  </r>
  <r>
    <s v="499183354147"/>
    <s v="INF204K01K15"/>
    <d v="2020-05-11T00:00:00"/>
    <n v="93.793999999999997"/>
    <n v="31.984999999999999"/>
    <m/>
    <s v="DK HDFC NRO"/>
    <m/>
    <x v="1"/>
    <n v="3000.0010899999997"/>
    <s v="DK"/>
  </r>
  <r>
    <s v="4183002"/>
    <s v="INF277K01PK1"/>
    <d v="2020-05-11T00:00:00"/>
    <n v="12.366"/>
    <n v="80.866500000000002"/>
    <m/>
    <s v="DK HDFC NRO"/>
    <s v="Watching"/>
    <x v="5"/>
    <n v="999.99513899999999"/>
    <s v="DK"/>
  </r>
  <r>
    <s v="10121489"/>
    <s v="INF879O01027"/>
    <d v="2020-05-12T00:00:00"/>
    <n v="80.073999999999998"/>
    <n v="24.976800000000001"/>
    <m/>
    <s v="DK HDFC NRO"/>
    <s v="Long Term"/>
    <x v="3"/>
    <n v="1999.9922832"/>
    <s v="DK"/>
  </r>
  <r>
    <s v="18968155"/>
    <s v="INF200K01QX4"/>
    <d v="2020-05-12T00:00:00"/>
    <n v="58.604999999999997"/>
    <n v="34.126600000000003"/>
    <m/>
    <s v="DK HDFC NRO"/>
    <s v="Long Term"/>
    <x v="0"/>
    <n v="1999.9893930000001"/>
    <s v="DK"/>
  </r>
  <r>
    <s v="4183002"/>
    <s v="INF277K01QO1"/>
    <d v="2020-05-12T00:00:00"/>
    <n v="69.754000000000005"/>
    <n v="28.6721"/>
    <m/>
    <s v="DK HDFC NRO"/>
    <s v="Wipro-PF"/>
    <x v="2"/>
    <n v="1999.9936634000001"/>
    <s v="DK"/>
  </r>
  <r>
    <s v="10231846"/>
    <s v="INF879O01027"/>
    <d v="2020-05-12T00:00:00"/>
    <n v="120.111"/>
    <n v="24.976800000000001"/>
    <m/>
    <s v="RS SBI"/>
    <s v="Long Term"/>
    <x v="3"/>
    <n v="2999.9884248000003"/>
    <s v="RS"/>
  </r>
  <r>
    <n v="18917658"/>
    <s v="INF200K01QX4"/>
    <d v="2020-05-12T00:00:00"/>
    <n v="58.604999999999997"/>
    <n v="34.126600000000003"/>
    <m/>
    <s v="RS SBI"/>
    <s v="Long Term"/>
    <x v="0"/>
    <n v="1999.9893930000001"/>
    <s v="RS"/>
  </r>
  <r>
    <s v="499183354147"/>
    <s v="INF204K01K15"/>
    <d v="2020-06-11T00:00:00"/>
    <n v="84.384"/>
    <n v="35.551900000000003"/>
    <m/>
    <s v="DK HDFC NRO"/>
    <m/>
    <x v="1"/>
    <n v="3000.0115296000004"/>
    <s v="DK"/>
  </r>
  <r>
    <s v="4183002"/>
    <s v="INF277K01PK1"/>
    <d v="2020-06-11T00:00:00"/>
    <n v="11.63"/>
    <n v="85.982100000000003"/>
    <m/>
    <s v="DK HDFC NRO"/>
    <s v="Watching"/>
    <x v="5"/>
    <n v="999.97182300000009"/>
    <s v="DK"/>
  </r>
  <r>
    <s v="10121489"/>
    <s v="INF879O01027"/>
    <d v="2020-06-12T00:00:00"/>
    <n v="74.096000000000004"/>
    <n v="26.992100000000001"/>
    <m/>
    <s v="DK HDFC NRO"/>
    <s v="Long Term"/>
    <x v="3"/>
    <n v="2000.0066416000002"/>
    <s v="DK"/>
  </r>
  <r>
    <s v="18968155"/>
    <s v="INF200K01QX4"/>
    <d v="2020-06-12T00:00:00"/>
    <n v="54.38"/>
    <n v="36.778500000000001"/>
    <m/>
    <s v="DK HDFC NRO"/>
    <s v="Long Term"/>
    <x v="0"/>
    <n v="2000.0148300000001"/>
    <s v="DK"/>
  </r>
  <r>
    <s v="4183002"/>
    <s v="INF277K01QO1"/>
    <d v="2020-06-12T00:00:00"/>
    <n v="98.686999999999998"/>
    <n v="30.399000000000001"/>
    <m/>
    <s v="DK HDFC NRO"/>
    <s v="Wipro-PF"/>
    <x v="2"/>
    <n v="2999.9861129999999"/>
    <s v="DK"/>
  </r>
  <r>
    <s v="10231846"/>
    <s v="INF879O01027"/>
    <d v="2020-06-15T00:00:00"/>
    <n v="37.201000000000001"/>
    <n v="26.8813"/>
    <m/>
    <s v="RS SBI"/>
    <s v="Long Term"/>
    <x v="3"/>
    <n v="1000.0112413000001"/>
    <s v="RS"/>
  </r>
  <r>
    <s v="10121489"/>
    <s v="INF879O01027"/>
    <d v="2020-06-29T00:00:00"/>
    <n v="71.790999999999997"/>
    <n v="27.858799999999999"/>
    <m/>
    <s v="DK HDFC NRO"/>
    <s v="Long Term"/>
    <x v="3"/>
    <n v="2000.0111107999999"/>
    <s v="DK"/>
  </r>
  <r>
    <s v="18968155"/>
    <s v="INF200K01QX4"/>
    <d v="2020-06-29T00:00:00"/>
    <n v="52.908000000000001"/>
    <n v="37.801299999999998"/>
    <m/>
    <s v="DK HDFC NRO"/>
    <s v="Long Term"/>
    <x v="0"/>
    <n v="1999.9911803999998"/>
    <s v="DK"/>
  </r>
  <r>
    <s v="4183002"/>
    <s v="INF277K01PK1"/>
    <d v="2020-06-29T00:00:00"/>
    <n v="11.173999999999999"/>
    <n v="89.492699999999999"/>
    <m/>
    <s v="DK HDFC NRO"/>
    <s v="Watching"/>
    <x v="5"/>
    <n v="999.99142979999999"/>
    <s v="DK"/>
  </r>
  <r>
    <s v="4183002"/>
    <s v="INF277K01QO1"/>
    <d v="2020-06-29T00:00:00"/>
    <n v="95.83"/>
    <n v="31.305399999999999"/>
    <m/>
    <s v="DK HDFC NRO"/>
    <s v="Wipro-PF"/>
    <x v="2"/>
    <n v="2999.996482"/>
    <s v="DK"/>
  </r>
  <r>
    <s v="10231846"/>
    <s v="INF879O01027"/>
    <d v="2020-06-29T00:00:00"/>
    <n v="71.790999999999997"/>
    <n v="27.858799999999999"/>
    <m/>
    <s v="RS SBI"/>
    <s v="Long Term"/>
    <x v="3"/>
    <n v="2000.0111107999999"/>
    <s v="RS"/>
  </r>
  <r>
    <s v="499183354147"/>
    <s v="INF204K01K15"/>
    <d v="2020-07-10T00:00:00"/>
    <n v="78.638999999999996"/>
    <n v="38.147199999999998"/>
    <m/>
    <s v="DK HDFC NRO"/>
    <m/>
    <x v="1"/>
    <n v="2999.8576607999998"/>
    <s v="DK"/>
  </r>
  <r>
    <s v="4183002"/>
    <s v="INF277K01PK1"/>
    <d v="2020-07-13T00:00:00"/>
    <n v="10.611000000000001"/>
    <n v="94.239000000000004"/>
    <m/>
    <s v="DK HDFC NRO"/>
    <s v="Watching"/>
    <x v="5"/>
    <n v="999.97002900000007"/>
    <s v="DK"/>
  </r>
  <r>
    <s v="4183002"/>
    <s v="INF277K01QO1"/>
    <d v="2020-08-07T00:00:00"/>
    <n v="29.11"/>
    <n v="34.3504"/>
    <m/>
    <s v="DK HDFC NRO"/>
    <s v="Wipro-PF"/>
    <x v="2"/>
    <n v="999.94014400000003"/>
    <s v="DK"/>
  </r>
  <r>
    <n v="18917658"/>
    <s v="INF200K01QX4"/>
    <d v="2020-08-07T00:00:00"/>
    <n v="24.449000000000002"/>
    <n v="40.8992"/>
    <m/>
    <s v="RS SBI"/>
    <s v="Long Term"/>
    <x v="0"/>
    <n v="999.94454080000003"/>
    <s v="RS"/>
  </r>
  <r>
    <s v="499183354147"/>
    <s v="INF204K01K15"/>
    <d v="2020-08-10T00:00:00"/>
    <n v="72.305000000000007"/>
    <n v="41.489100000000001"/>
    <m/>
    <s v="DK HDFC NRO"/>
    <m/>
    <x v="1"/>
    <n v="2999.8693755000004"/>
    <s v="DK"/>
  </r>
  <r>
    <s v="10231846"/>
    <s v="INF879O01027"/>
    <d v="2020-08-10T00:00:00"/>
    <n v="63.408000000000001"/>
    <n v="31.540099999999999"/>
    <m/>
    <s v="RS SBI"/>
    <s v="Long Term"/>
    <x v="3"/>
    <n v="1999.8946607999999"/>
    <s v="RS"/>
  </r>
  <r>
    <s v="4183002"/>
    <s v="INF277K01PK1"/>
    <d v="2020-08-11T00:00:00"/>
    <n v="10.138999999999999"/>
    <n v="98.628299999999996"/>
    <m/>
    <s v="DK HDFC NRO"/>
    <s v="Watching"/>
    <x v="5"/>
    <n v="999.9923336999999"/>
    <s v="DK"/>
  </r>
  <r>
    <s v="10121489"/>
    <s v="INF879O01027"/>
    <d v="2020-09-03T00:00:00"/>
    <n v="90.936999999999998"/>
    <n v="32.988300000000002"/>
    <m/>
    <s v="DK HDFC NRO"/>
    <s v="Long Term"/>
    <x v="3"/>
    <n v="2999.8570371000001"/>
    <s v="DK"/>
  </r>
  <r>
    <s v="18968155"/>
    <s v="INF200K01QX4"/>
    <d v="2020-09-03T00:00:00"/>
    <n v="47.241999999999997"/>
    <n v="42.333300000000001"/>
    <m/>
    <s v="DK HDFC NRO"/>
    <s v="Long Term"/>
    <x v="0"/>
    <n v="1999.9097586"/>
    <s v="DK"/>
  </r>
  <r>
    <s v="4183002"/>
    <s v="INF277K01PK1"/>
    <d v="2020-09-03T00:00:00"/>
    <n v="9.9849999999999994"/>
    <n v="100.1473"/>
    <m/>
    <s v="DK HDFC NRO"/>
    <s v="Watching"/>
    <x v="5"/>
    <n v="999.97079049999991"/>
    <s v="DK"/>
  </r>
  <r>
    <s v="4183002"/>
    <s v="INF277K01QO1"/>
    <d v="2020-09-03T00:00:00"/>
    <n v="114.946"/>
    <n v="34.797199999999997"/>
    <m/>
    <s v="DK HDFC NRO"/>
    <s v="Wipro-PF"/>
    <x v="2"/>
    <n v="3999.7989511999995"/>
    <s v="DK"/>
  </r>
  <r>
    <s v="10231846"/>
    <s v="INF879O01027"/>
    <d v="2020-09-03T00:00:00"/>
    <n v="30.312000000000001"/>
    <n v="32.988300000000002"/>
    <m/>
    <s v="RS SBI"/>
    <s v="Long Term"/>
    <x v="3"/>
    <n v="999.94134960000008"/>
    <s v="RS"/>
  </r>
  <r>
    <n v="18917658"/>
    <s v="INF200K01QX4"/>
    <d v="2020-09-03T00:00:00"/>
    <n v="23.620999999999999"/>
    <n v="42.333300000000001"/>
    <m/>
    <s v="RS SBI"/>
    <s v="Long Term"/>
    <x v="0"/>
    <n v="999.95487930000002"/>
    <s v="RS"/>
  </r>
  <r>
    <s v="10121489"/>
    <s v="INF879O01027"/>
    <d v="2020-09-04T00:00:00"/>
    <n v="62.152000000000001"/>
    <n v="32.177599999999998"/>
    <m/>
    <s v="DK HDFC NRO"/>
    <s v="Long Term"/>
    <x v="3"/>
    <n v="1999.9021951999998"/>
    <s v="DK"/>
  </r>
  <r>
    <s v="18968155"/>
    <s v="INF200K01QX4"/>
    <d v="2020-09-04T00:00:00"/>
    <n v="48.082000000000001"/>
    <n v="41.5931"/>
    <m/>
    <s v="DK HDFC NRO"/>
    <s v="Long Term"/>
    <x v="0"/>
    <n v="1999.8794342000001"/>
    <s v="DK"/>
  </r>
  <r>
    <s v="4183002"/>
    <s v="INF277K01QO1"/>
    <d v="2020-09-04T00:00:00"/>
    <n v="58.252000000000002"/>
    <n v="34.332099999999997"/>
    <m/>
    <s v="DK HDFC NRO"/>
    <s v="Wipro-PF"/>
    <x v="2"/>
    <n v="1999.9134892"/>
    <s v="DK"/>
  </r>
  <r>
    <s v="10121489"/>
    <s v="INF879O01027"/>
    <d v="2020-09-09T00:00:00"/>
    <n v="95.494"/>
    <n v="31.414100000000001"/>
    <m/>
    <s v="DK HDFC NRO"/>
    <s v="Long Term"/>
    <x v="3"/>
    <n v="2999.8580654000002"/>
    <s v="DK"/>
  </r>
  <r>
    <s v="18968155"/>
    <s v="INF200K01QX4"/>
    <d v="2020-09-09T00:00:00"/>
    <n v="48.694000000000003"/>
    <n v="41.070700000000002"/>
    <m/>
    <s v="DK HDFC NRO"/>
    <s v="Long Term"/>
    <x v="0"/>
    <n v="1999.8966658000002"/>
    <s v="DK"/>
  </r>
  <r>
    <s v="4183002"/>
    <s v="INF277K01QO1"/>
    <d v="2020-09-09T00:00:00"/>
    <n v="87.385000000000005"/>
    <n v="34.329099999999997"/>
    <m/>
    <s v="DK HDFC NRO"/>
    <s v="Wipro-PF"/>
    <x v="2"/>
    <n v="2999.8484034999997"/>
    <s v="DK"/>
  </r>
  <r>
    <s v="499183354147"/>
    <s v="INF204K01K15"/>
    <d v="2020-09-10T00:00:00"/>
    <n v="68.207999999999998"/>
    <n v="43.980600000000003"/>
    <m/>
    <s v="DK HDFC NRO"/>
    <m/>
    <x v="1"/>
    <n v="2999.8287648"/>
    <s v="DK"/>
  </r>
  <r>
    <s v="10510544"/>
    <s v="INF879O01027"/>
    <d v="2020-09-10T00:00:00"/>
    <n v="31.491"/>
    <n v="31.753900000000002"/>
    <m/>
    <s v="KOTAK M BANK - NRE"/>
    <m/>
    <x v="3"/>
    <n v="999.96206490000009"/>
    <s v="DK"/>
  </r>
  <r>
    <s v="10510544"/>
    <s v="INF879O01027"/>
    <d v="2020-09-11T00:00:00"/>
    <n v="885.84400000000005"/>
    <n v="31.6067"/>
    <m/>
    <s v="KOTAK M BANK - NRE"/>
    <m/>
    <x v="3"/>
    <n v="27998.6055548"/>
    <s v="DK"/>
  </r>
  <r>
    <s v="4183002"/>
    <s v="INF277K01PK1"/>
    <d v="2020-09-11T00:00:00"/>
    <n v="10.016999999999999"/>
    <n v="99.822900000000004"/>
    <m/>
    <s v="DK HDFC NRO"/>
    <s v="Watching"/>
    <x v="5"/>
    <n v="999.92598929999997"/>
    <s v="DK"/>
  </r>
  <r>
    <s v="10510544"/>
    <s v="INF879O01027"/>
    <d v="2020-09-17T00:00:00"/>
    <n v="1747.35"/>
    <n v="32.619199999999999"/>
    <m/>
    <s v="KOTAK M BANK - NRE"/>
    <m/>
    <x v="3"/>
    <n v="56997.159119999997"/>
    <s v="DK"/>
  </r>
  <r>
    <s v="18968155"/>
    <s v="INF200K01QX4"/>
    <d v="2020-09-17T00:00:00"/>
    <n v="47.628"/>
    <n v="42.094999999999999"/>
    <m/>
    <s v="DK HDFC NRO"/>
    <s v="Long Term"/>
    <x v="0"/>
    <n v="2004.90066"/>
    <s v="DK"/>
  </r>
  <r>
    <s v="4183002"/>
    <s v="INF277K01PK1"/>
    <d v="2020-09-17T00:00:00"/>
    <n v="19.968"/>
    <n v="100.1564"/>
    <m/>
    <s v="DK HDFC NRO"/>
    <s v="Watching"/>
    <x v="5"/>
    <n v="1999.9229952000001"/>
    <s v="DK"/>
  </r>
  <r>
    <s v="4183002"/>
    <s v="INF277K01QO1"/>
    <d v="2020-09-17T00:00:00"/>
    <n v="140.49100000000001"/>
    <n v="35.587800000000001"/>
    <m/>
    <s v="DK HDFC NRO"/>
    <s v="Wipro-PF"/>
    <x v="2"/>
    <n v="4999.7656098000007"/>
    <s v="DK"/>
  </r>
  <r>
    <s v="10510544"/>
    <s v="INF879O01027"/>
    <d v="2020-09-21T00:00:00"/>
    <n v="1379.319"/>
    <n v="31.898199999999999"/>
    <m/>
    <s v="KOTAK M BANK - NRE"/>
    <m/>
    <x v="3"/>
    <n v="43997.793325799998"/>
    <s v="DK"/>
  </r>
  <r>
    <s v="18968155"/>
    <s v="INF200K01QX4"/>
    <d v="2020-09-21T00:00:00"/>
    <n v="48.872999999999998"/>
    <n v="40.920099999999998"/>
    <m/>
    <s v="DK HDFC NRO"/>
    <s v="Long Term"/>
    <x v="0"/>
    <n v="1999.8880472999997"/>
    <s v="DK"/>
  </r>
  <r>
    <s v="4183002"/>
    <s v="INF277K01QO1"/>
    <d v="2020-09-21T00:00:00"/>
    <n v="57.414000000000001"/>
    <n v="34.832999999999998"/>
    <m/>
    <s v="DK HDFC NRO"/>
    <s v="Wipro-PF"/>
    <x v="2"/>
    <n v="1999.9018619999999"/>
    <s v="DK"/>
  </r>
  <r>
    <s v="10510544"/>
    <s v="INF879O01027"/>
    <d v="2020-09-23T00:00:00"/>
    <n v="883.351"/>
    <n v="31.7072"/>
    <m/>
    <s v="KOTAK M BANK - NRE"/>
    <m/>
    <x v="3"/>
    <n v="28008.586827200001"/>
    <s v="DK"/>
  </r>
  <r>
    <s v="10510544"/>
    <s v="INF879O01027"/>
    <d v="2020-09-24T00:00:00"/>
    <n v="4798.5619999999999"/>
    <n v="31.2578"/>
    <m/>
    <s v="KOTAK M BANK - NRE"/>
    <m/>
    <x v="3"/>
    <n v="149992.49128359999"/>
    <s v="DK"/>
  </r>
  <r>
    <s v="18968155"/>
    <s v="INF200K01QX4"/>
    <d v="2020-09-24T00:00:00"/>
    <n v="25.395"/>
    <n v="39.375599999999999"/>
    <m/>
    <s v="DK HDFC NRO"/>
    <s v="Long Term"/>
    <x v="0"/>
    <n v="999.94336199999998"/>
    <s v="DK"/>
  </r>
  <r>
    <s v="4183002"/>
    <s v="INF277K01PK1"/>
    <d v="2020-09-24T00:00:00"/>
    <n v="10.635"/>
    <n v="94.117000000000004"/>
    <m/>
    <s v="DK HDFC NRO"/>
    <s v="Watching"/>
    <x v="5"/>
    <n v="1000.934295"/>
    <s v="DK"/>
  </r>
  <r>
    <s v="4183002"/>
    <s v="INF277K01QO1"/>
    <d v="2020-09-24T00:00:00"/>
    <n v="29.454999999999998"/>
    <n v="33.9482"/>
    <m/>
    <s v="DK HDFC NRO"/>
    <s v="Wipro-PF"/>
    <x v="2"/>
    <n v="999.94423099999995"/>
    <s v="DK"/>
  </r>
  <r>
    <s v="499183354147"/>
    <s v="INF204K01K15"/>
    <d v="2020-10-12T00:00:00"/>
    <n v="67.677000000000007"/>
    <n v="44.325699999999998"/>
    <m/>
    <s v="DK HDFC NRO"/>
    <m/>
    <x v="1"/>
    <n v="2999.8303989000001"/>
    <s v="DK"/>
  </r>
  <r>
    <s v="4183002"/>
    <s v="INF277K01PK1"/>
    <d v="2020-10-12T00:00:00"/>
    <n v="9.5830000000000002"/>
    <n v="104.3511"/>
    <m/>
    <s v="DK HDFC NRO"/>
    <s v="Watching"/>
    <x v="5"/>
    <n v="999.99659130000009"/>
    <s v="DK"/>
  </r>
  <r>
    <s v="10510544"/>
    <s v="INF879O01027"/>
    <d v="2020-10-14T00:00:00"/>
    <n v="735.88099999999997"/>
    <n v="33.978000000000002"/>
    <m/>
    <s v="KOTAK M BANK - NRE"/>
    <m/>
    <x v="3"/>
    <n v="25003.764618000001"/>
    <s v="DK"/>
  </r>
  <r>
    <s v="18968155"/>
    <s v="INF200K01QX4"/>
    <d v="2020-10-14T00:00:00"/>
    <n v="46.558999999999997"/>
    <n v="42.953899999999997"/>
    <m/>
    <s v="DK HDFC NRO"/>
    <s v="Long Term"/>
    <x v="0"/>
    <n v="1999.8906300999997"/>
    <s v="DK"/>
  </r>
  <r>
    <s v="4183002"/>
    <s v="INF277K01QO1"/>
    <d v="2020-10-14T00:00:00"/>
    <n v="55.161999999999999"/>
    <n v="36.291600000000003"/>
    <m/>
    <s v="DK HDFC NRO"/>
    <s v="Wipro-PF"/>
    <x v="2"/>
    <n v="2001.9172392"/>
    <s v="DK"/>
  </r>
  <r>
    <n v="79931510915"/>
    <s v="INF769K01BI1"/>
    <d v="2020-10-22T00:00:00"/>
    <n v="46.283000000000001"/>
    <n v="64.814999999999998"/>
    <m/>
    <s v="KOTAK M BANK - NRE"/>
    <s v="SIP"/>
    <x v="6"/>
    <n v="2999.832645"/>
    <s v="DK"/>
  </r>
  <r>
    <s v="10510544"/>
    <s v="INF879O01027"/>
    <d v="2020-10-26T00:00:00"/>
    <n v="1267.7850000000001"/>
    <n v="33.127000000000002"/>
    <m/>
    <s v="KOTAK M BANK - NRE"/>
    <m/>
    <x v="3"/>
    <n v="41997.913695000003"/>
    <s v="DK"/>
  </r>
  <r>
    <s v="18968155"/>
    <s v="INF200K01QX4"/>
    <d v="2020-10-26T00:00:00"/>
    <n v="47.015999999999998"/>
    <n v="42.536700000000003"/>
    <m/>
    <s v="DK HDFC NRO"/>
    <s v="Long Term"/>
    <x v="0"/>
    <n v="1999.9054872000002"/>
    <s v="DK"/>
  </r>
  <r>
    <s v="4183002"/>
    <s v="INF277K01PK1"/>
    <d v="2020-10-26T00:00:00"/>
    <n v="9.6760000000000002"/>
    <n v="103.3463"/>
    <m/>
    <s v="DK HDFC NRO"/>
    <s v="Watching"/>
    <x v="5"/>
    <n v="999.97879880000005"/>
    <s v="DK"/>
  </r>
  <r>
    <s v="4183002"/>
    <s v="INF277K01QO1"/>
    <d v="2020-10-26T00:00:00"/>
    <n v="112.229"/>
    <n v="35.639600000000002"/>
    <m/>
    <s v="DK HDFC NRO"/>
    <s v="Wipro-PF"/>
    <x v="2"/>
    <n v="3999.7966684000003"/>
    <s v="DK"/>
  </r>
  <r>
    <s v="10231846"/>
    <s v="INF879O01027"/>
    <d v="2020-10-26T00:00:00"/>
    <n v="90.555999999999997"/>
    <n v="33.127000000000002"/>
    <m/>
    <s v="RS SBI"/>
    <s v="Long Term"/>
    <x v="3"/>
    <n v="2999.8486120000002"/>
    <s v="RS"/>
  </r>
  <r>
    <s v="10510544"/>
    <s v="INF879O01027"/>
    <d v="2020-10-28T00:00:00"/>
    <n v="1305.6669999999999"/>
    <n v="32.931699999999999"/>
    <m/>
    <s v="KOTAK M BANK - NRE"/>
    <m/>
    <x v="3"/>
    <n v="42997.833943899997"/>
    <s v="DK"/>
  </r>
  <r>
    <s v="10510544"/>
    <s v="INF879O01027"/>
    <d v="2020-10-29T00:00:00"/>
    <n v="371.78500000000003"/>
    <n v="32.275100000000002"/>
    <m/>
    <s v="KOTAK M BANK - NRE"/>
    <m/>
    <x v="3"/>
    <n v="11999.398053500001"/>
    <s v="DK"/>
  </r>
  <r>
    <s v="18968155"/>
    <s v="INF200K01T51"/>
    <d v="2020-11-11T00:00:00"/>
    <n v="44.997"/>
    <n v="66.668499999999995"/>
    <m/>
    <s v="DK HDFC NRO"/>
    <s v="SIP"/>
    <x v="7"/>
    <n v="2999.8824944999997"/>
    <s v="DK"/>
  </r>
  <r>
    <s v="4183002"/>
    <s v="INF277K01PK1"/>
    <d v="2020-11-11T00:00:00"/>
    <n v="8.92"/>
    <n v="112.1003"/>
    <m/>
    <s v="DK HDFC NRO"/>
    <s v="Watching"/>
    <x v="5"/>
    <n v="999.93467600000008"/>
    <s v="DK"/>
  </r>
  <r>
    <n v="79931510915"/>
    <s v="INF769K01BI1"/>
    <d v="2020-11-23T00:00:00"/>
    <n v="42.472999999999999"/>
    <n v="70.63"/>
    <m/>
    <s v="KOTAK M BANK - NRE"/>
    <s v="SIP"/>
    <x v="6"/>
    <n v="2999.8679899999997"/>
    <s v="DK"/>
  </r>
  <r>
    <s v="4183002"/>
    <s v="INF277K01QO1"/>
    <d v="2020-11-27T00:00:00"/>
    <n v="26.385999999999999"/>
    <n v="37.896500000000003"/>
    <m/>
    <s v="DK HDFC NRO"/>
    <s v="Wipro-PF"/>
    <x v="2"/>
    <n v="999.937049"/>
    <s v="DK"/>
  </r>
  <r>
    <s v="10510544"/>
    <s v="INF879O01027"/>
    <d v="2020-12-10T00:00:00"/>
    <n v="138.667"/>
    <n v="36.055900000000001"/>
    <m/>
    <s v="KOTAK M BANK - NRE"/>
    <m/>
    <x v="3"/>
    <n v="4999.7634853"/>
    <s v="DK"/>
  </r>
  <r>
    <s v="4183002"/>
    <s v="INF277K01QO1"/>
    <d v="2020-12-10T00:00:00"/>
    <n v="76.47"/>
    <n v="39.228999999999999"/>
    <m/>
    <s v="DK HDFC NRO"/>
    <s v="Wipro-PF"/>
    <x v="2"/>
    <n v="2999.8416299999999"/>
    <s v="DK"/>
  </r>
  <r>
    <n v="79931510915"/>
    <s v="INF769K01BI1"/>
    <d v="2020-12-11T00:00:00"/>
    <n v="27.056000000000001"/>
    <n v="73.906999999999996"/>
    <m/>
    <s v="KOTAK M BANK - NRE"/>
    <s v="SIP"/>
    <x v="6"/>
    <n v="1999.627792"/>
    <s v="DK"/>
  </r>
  <r>
    <s v="18968155"/>
    <s v="INF200K01T51"/>
    <d v="2020-12-11T00:00:00"/>
    <n v="39.372999999999998"/>
    <n v="76.189700000000002"/>
    <m/>
    <s v="DK HDFC NRO"/>
    <s v="SIP"/>
    <x v="7"/>
    <n v="2999.8170580999999"/>
    <s v="DK"/>
  </r>
  <r>
    <s v="4183002"/>
    <s v="INF277K01PK1"/>
    <d v="2020-12-11T00:00:00"/>
    <n v="8.452"/>
    <n v="118.31610000000001"/>
    <m/>
    <s v="DK HDFC NRO"/>
    <s v="Watching"/>
    <x v="5"/>
    <n v="1000.0076772"/>
    <s v="DK"/>
  </r>
  <r>
    <s v="4183002"/>
    <s v="INF277K01PK1"/>
    <d v="2020-12-21T00:00:00"/>
    <n v="8.5489999999999995"/>
    <n v="116.9699"/>
    <m/>
    <s v="DK HDFC NRO"/>
    <s v="Watching"/>
    <x v="5"/>
    <n v="999.97567509999988"/>
    <s v="DK"/>
  </r>
  <r>
    <s v="4183002"/>
    <s v="INF277K01QO1"/>
    <d v="2020-12-21T00:00:00"/>
    <n v="51.777000000000001"/>
    <n v="38.625599999999999"/>
    <m/>
    <s v="DK HDFC NRO"/>
    <s v="Wipro-PF"/>
    <x v="2"/>
    <n v="1999.9176912"/>
    <s v="DK"/>
  </r>
  <r>
    <s v="10231846"/>
    <s v="INF879O01027"/>
    <d v="2020-12-21T00:00:00"/>
    <n v="28.074999999999999"/>
    <n v="35.6173"/>
    <m/>
    <s v="RS SBI"/>
    <s v="Long Term"/>
    <x v="3"/>
    <n v="999.95569749999993"/>
    <s v="RS"/>
  </r>
  <r>
    <n v="79931510915"/>
    <s v="INF769K01BI1"/>
    <d v="2020-12-22T00:00:00"/>
    <n v="41.128"/>
    <n v="72.938999999999993"/>
    <m/>
    <s v="KOTAK M BANK - NRE"/>
    <s v="SIP"/>
    <x v="6"/>
    <n v="2999.8351919999996"/>
    <s v="DK"/>
  </r>
  <r>
    <s v="19915197402"/>
    <s v="INF760K01EI4"/>
    <d v="2020-12-28T00:00:00"/>
    <n v="-3418.857"/>
    <n v="130.19"/>
    <s v="Sold"/>
    <s v="DK HDFC NRO"/>
    <s v="Profilt Booking"/>
    <x v="4"/>
    <n v="-445100.99283"/>
    <s v="DK"/>
  </r>
  <r>
    <s v="19915197402"/>
    <s v="INF760K01EI4"/>
    <d v="2020-12-28T00:00:00"/>
    <m/>
    <m/>
    <s v="P/L Adjusted"/>
    <s v="DK HDFC NRO"/>
    <s v="Profilt Booking"/>
    <x v="4"/>
    <n v="130100.98999999999"/>
    <s v="DK"/>
  </r>
  <r>
    <n v="79931510915"/>
    <s v="INF769K01BI1"/>
    <d v="2021-01-11T00:00:00"/>
    <n v="25.100999999999999"/>
    <n v="79.673000000000002"/>
    <m/>
    <s v="KOTAK M BANK - NRE"/>
    <s v="SIP"/>
    <x v="6"/>
    <n v="1999.871973"/>
    <s v="DK"/>
  </r>
  <r>
    <n v="79933657726"/>
    <s v="INF769K01BI1"/>
    <d v="2021-01-11T00:00:00"/>
    <n v="31.376999999999999"/>
    <n v="79.673000000000002"/>
    <m/>
    <s v="KOTAK M BANK - NRE"/>
    <s v="SIP -JAG"/>
    <x v="6"/>
    <n v="2499.8997209999998"/>
    <s v="DK"/>
  </r>
  <r>
    <s v="18968155"/>
    <s v="INF200K01T51"/>
    <d v="2021-01-11T00:00:00"/>
    <n v="36.540999999999997"/>
    <n v="82.094899999999996"/>
    <m/>
    <s v="DK HDFC NRO"/>
    <s v="SIP"/>
    <x v="7"/>
    <n v="2999.8297408999997"/>
    <s v="DK"/>
  </r>
  <r>
    <s v="4183002"/>
    <s v="INF277K01PK1"/>
    <d v="2021-01-11T00:00:00"/>
    <n v="7.9130000000000003"/>
    <n v="126.3687"/>
    <m/>
    <s v="DK HDFC NRO"/>
    <s v="Watching"/>
    <x v="5"/>
    <n v="999.95552310000005"/>
    <s v="DK"/>
  </r>
  <r>
    <n v="19915197402"/>
    <s v="INF760K01EI4"/>
    <d v="2021-01-18T00:00:00"/>
    <n v="112.47199999999999"/>
    <n v="133.36000000000001"/>
    <m/>
    <s v="DK HDFC NRO"/>
    <s v="DK Long Term"/>
    <x v="4"/>
    <n v="14999.265920000002"/>
    <s v="DK"/>
  </r>
  <r>
    <s v="10510544"/>
    <s v="INF879O01027"/>
    <d v="2021-01-18T00:00:00"/>
    <n v="402.04199999999997"/>
    <n v="37.307699999999997"/>
    <m/>
    <s v="KOTAK M BANK - NRE"/>
    <m/>
    <x v="3"/>
    <n v="14999.262323399998"/>
    <s v="DK"/>
  </r>
  <r>
    <s v="4183002"/>
    <s v="INF277K01PK1"/>
    <d v="2021-01-18T00:00:00"/>
    <n v="8.0250000000000004"/>
    <n v="124.5968"/>
    <m/>
    <s v="DK HDFC NRO"/>
    <s v="Watching"/>
    <x v="5"/>
    <n v="999.88932000000011"/>
    <s v="DK"/>
  </r>
  <r>
    <s v="4183002"/>
    <s v="INF277K01QO1"/>
    <d v="2021-01-18T00:00:00"/>
    <n v="72.716999999999999"/>
    <n v="41.253599999999999"/>
    <m/>
    <s v="DK HDFC NRO"/>
    <s v="Wipro-PF"/>
    <x v="2"/>
    <n v="2999.8380311999999"/>
    <s v="DK"/>
  </r>
  <r>
    <s v="10231846"/>
    <s v="INF879O01027"/>
    <d v="2021-01-18T00:00:00"/>
    <n v="402.04199999999997"/>
    <n v="37.307699999999997"/>
    <m/>
    <s v="RS SBI"/>
    <s v="Long Term"/>
    <x v="3"/>
    <n v="14999.262323399998"/>
    <s v="RS"/>
  </r>
  <r>
    <n v="79931510915"/>
    <s v="INF769K01BI1"/>
    <d v="2021-01-22T00:00:00"/>
    <n v="37.777000000000001"/>
    <n v="79.409000000000006"/>
    <m/>
    <s v="KOTAK M BANK - NRE"/>
    <s v="SIP"/>
    <x v="6"/>
    <n v="2999.8337930000002"/>
    <s v="DK"/>
  </r>
  <r>
    <n v="19915197402"/>
    <s v="INF760K01EI4"/>
    <d v="2021-01-27T00:00:00"/>
    <n v="76.14"/>
    <n v="131.33000000000001"/>
    <m/>
    <s v="DK HDFC NRO"/>
    <s v="DK Long Term"/>
    <x v="4"/>
    <n v="9999.4662000000008"/>
    <s v="DK"/>
  </r>
  <r>
    <s v="4183002"/>
    <s v="INF277K01PK1"/>
    <d v="2021-01-27T00:00:00"/>
    <n v="8.218"/>
    <n v="121.6795"/>
    <m/>
    <s v="DK HDFC NRO"/>
    <s v="Watching"/>
    <x v="5"/>
    <n v="999.962131"/>
    <s v="DK"/>
  </r>
  <r>
    <s v="4183002"/>
    <s v="INF277K01QO1"/>
    <d v="2021-01-27T00:00:00"/>
    <n v="49.886000000000003"/>
    <n v="40.089700000000001"/>
    <m/>
    <s v="DK HDFC NRO"/>
    <s v="Wipro-PF"/>
    <x v="2"/>
    <n v="1999.9147742000002"/>
    <s v="DK"/>
  </r>
  <r>
    <s v="10231846"/>
    <s v="INF879O01027"/>
    <d v="2021-01-27T00:00:00"/>
    <n v="263.75799999999998"/>
    <n v="37.911700000000003"/>
    <m/>
    <s v="RS SBI"/>
    <s v="Long Term"/>
    <x v="3"/>
    <n v="9999.5141686000006"/>
    <s v="RS"/>
  </r>
  <r>
    <n v="19915197402"/>
    <s v="INF760K01EI4"/>
    <d v="2021-01-28T00:00:00"/>
    <n v="153.09700000000001"/>
    <n v="130.63"/>
    <m/>
    <s v="DK HDFC NRO"/>
    <s v="DK Long Term"/>
    <x v="4"/>
    <n v="19999.061109999999"/>
    <s v="DK"/>
  </r>
  <r>
    <s v="10510544"/>
    <s v="INF879O01027"/>
    <d v="2021-01-28T00:00:00"/>
    <n v="531.76400000000001"/>
    <n v="37.608800000000002"/>
    <m/>
    <s v="KOTAK M BANK - NRE"/>
    <m/>
    <x v="3"/>
    <n v="19999.005923200002"/>
    <s v="DK"/>
  </r>
  <r>
    <s v="4183002"/>
    <s v="INF277K01QO1"/>
    <d v="2021-01-28T00:00:00"/>
    <n v="62.789000000000001"/>
    <n v="39.813699999999997"/>
    <m/>
    <s v="DK HDFC NRO"/>
    <s v="Wipro-PF"/>
    <x v="2"/>
    <n v="2499.8624092999999"/>
    <s v="DK"/>
  </r>
  <r>
    <s v="10231846"/>
    <s v="INF879O01027"/>
    <d v="2021-01-28T00:00:00"/>
    <n v="265.88200000000001"/>
    <n v="37.608800000000002"/>
    <m/>
    <s v="RS SBI"/>
    <s v="Long Term"/>
    <x v="3"/>
    <n v="9999.5029616000011"/>
    <s v="RS"/>
  </r>
  <r>
    <n v="18917658"/>
    <s v="INF200K01QX4"/>
    <d v="2021-01-28T00:00:00"/>
    <n v="38.921999999999997"/>
    <n v="51.382800000000003"/>
    <m/>
    <s v="RS SBI"/>
    <s v="Long Term"/>
    <x v="0"/>
    <n v="1999.9213416"/>
    <s v="RS"/>
  </r>
  <r>
    <n v="79931510915"/>
    <s v="INF769K01BI1"/>
    <d v="2021-02-11T00:00:00"/>
    <n v="23.404"/>
    <n v="85.451999999999998"/>
    <m/>
    <s v="KOTAK M BANK - NRE"/>
    <s v="SIP"/>
    <x v="6"/>
    <n v="1999.9186079999999"/>
    <s v="DK"/>
  </r>
  <r>
    <n v="79933657726"/>
    <s v="INF769K01BI1"/>
    <d v="2021-02-11T00:00:00"/>
    <n v="29.254999999999999"/>
    <n v="85.451999999999998"/>
    <m/>
    <s v="KOTAK M BANK - NRE"/>
    <s v="SIP -JAG"/>
    <x v="6"/>
    <n v="2499.8982599999999"/>
    <s v="DK"/>
  </r>
  <r>
    <s v="18968155"/>
    <s v="INF200K01T51"/>
    <d v="2021-02-12T00:00:00"/>
    <n v="35.465000000000003"/>
    <n v="84.586399999999998"/>
    <m/>
    <s v="DK HDFC NRO"/>
    <s v="SIP"/>
    <x v="7"/>
    <n v="2999.8566760000003"/>
    <s v="DK"/>
  </r>
  <r>
    <s v="4183002"/>
    <s v="INF277K01PK1"/>
    <d v="2021-02-12T00:00:00"/>
    <n v="7.5679999999999996"/>
    <n v="132.1275"/>
    <m/>
    <s v="DK HDFC NRO"/>
    <s v="Watching"/>
    <x v="5"/>
    <n v="999.94091999999989"/>
    <s v="DK"/>
  </r>
  <r>
    <n v="19915197402"/>
    <s v="INF760K01EI4"/>
    <d v="2021-02-18T00:00:00"/>
    <n v="69.364000000000004"/>
    <n v="144.16"/>
    <m/>
    <s v="DK HDFC NRO"/>
    <s v="DK Long Term"/>
    <x v="4"/>
    <n v="9999.5142400000004"/>
    <s v="DK"/>
  </r>
  <r>
    <s v="4183002"/>
    <s v="INF277K01QO1"/>
    <d v="2021-02-18T00:00:00"/>
    <n v="58.454999999999998"/>
    <n v="42.766199999999998"/>
    <m/>
    <s v="DK HDFC NRO"/>
    <s v="Wipro-PF"/>
    <x v="2"/>
    <n v="2499.8982209999999"/>
    <s v="DK"/>
  </r>
  <r>
    <s v="10231846"/>
    <s v="INF879O01027"/>
    <d v="2021-02-18T00:00:00"/>
    <n v="249.041"/>
    <n v="40.152099999999997"/>
    <m/>
    <s v="RS SBI"/>
    <s v="Long Term"/>
    <x v="3"/>
    <n v="9999.5191360999997"/>
    <s v="RS"/>
  </r>
  <r>
    <n v="18917658"/>
    <s v="INF200K01QX4"/>
    <d v="2021-02-18T00:00:00"/>
    <n v="69.350999999999999"/>
    <n v="57.674799999999998"/>
    <m/>
    <s v="RS SBI"/>
    <s v="Long Term"/>
    <x v="0"/>
    <n v="3999.8050547999997"/>
    <s v="RS"/>
  </r>
  <r>
    <s v="10510544"/>
    <s v="INF879O01027"/>
    <d v="2021-02-19T00:00:00"/>
    <n v="753.62300000000005"/>
    <n v="39.805700000000002"/>
    <m/>
    <s v="KOTAK M BANK - NRE"/>
    <m/>
    <x v="3"/>
    <n v="29998.491051100002"/>
    <s v="DK"/>
  </r>
  <r>
    <n v="19915197402"/>
    <s v="INF760K01EI4"/>
    <d v="2021-02-22T00:00:00"/>
    <n v="71.491"/>
    <n v="139.87"/>
    <m/>
    <s v="DK HDFC NRO"/>
    <s v="DK Long Term"/>
    <x v="4"/>
    <n v="9999.4461700000011"/>
    <s v="DK"/>
  </r>
  <r>
    <n v="79931510915"/>
    <s v="INF769K01BI1"/>
    <d v="2021-02-22T00:00:00"/>
    <n v="35.326999999999998"/>
    <n v="84.917000000000002"/>
    <m/>
    <s v="KOTAK M BANK - NRE"/>
    <s v="SIP"/>
    <x v="6"/>
    <n v="2999.8628589999998"/>
    <s v="DK"/>
  </r>
  <r>
    <s v="4183002"/>
    <s v="INF277K01PK1"/>
    <d v="2021-02-22T00:00:00"/>
    <n v="7.8319999999999999"/>
    <n v="127.67659999999999"/>
    <m/>
    <s v="DK HDFC NRO"/>
    <s v="Watching"/>
    <x v="5"/>
    <n v="999.96313119999991"/>
    <s v="DK"/>
  </r>
  <r>
    <s v="4183002"/>
    <s v="INF277K01QO1"/>
    <d v="2021-02-22T00:00:00"/>
    <n v="48.146999999999998"/>
    <n v="41.537700000000001"/>
    <m/>
    <s v="DK HDFC NRO"/>
    <s v="Wipro-PF"/>
    <x v="2"/>
    <n v="1999.9156419000001"/>
    <s v="DK"/>
  </r>
  <r>
    <s v="10231846"/>
    <s v="INF879O01027"/>
    <d v="2021-02-22T00:00:00"/>
    <n v="634.51700000000005"/>
    <n v="39.398099999999999"/>
    <m/>
    <s v="RS SBI"/>
    <s v="Long Term"/>
    <x v="3"/>
    <n v="24998.764217700002"/>
    <s v="RS"/>
  </r>
  <r>
    <n v="18917658"/>
    <s v="INF200K01QX4"/>
    <d v="2021-02-22T00:00:00"/>
    <n v="35.798999999999999"/>
    <n v="55.864199999999997"/>
    <m/>
    <s v="RS SBI"/>
    <s v="Long Term"/>
    <x v="0"/>
    <n v="1999.8824957999998"/>
    <s v="RS"/>
  </r>
  <r>
    <s v="10510544"/>
    <s v="INF879O01027"/>
    <d v="2021-02-24T00:00:00"/>
    <n v="630.04999999999995"/>
    <n v="39.677399999999999"/>
    <m/>
    <s v="KOTAK M BANK - NRE"/>
    <m/>
    <x v="3"/>
    <n v="24998.745869999999"/>
    <s v="DK"/>
  </r>
  <r>
    <s v="79931281531"/>
    <s v="INF769K01BI1"/>
    <d v="2021-02-25T00:00:00"/>
    <n v="29.933"/>
    <n v="83.516999999999996"/>
    <m/>
    <s v="KOTAK M BANK - NRE"/>
    <s v="SIP"/>
    <x v="6"/>
    <n v="2499.9143609999996"/>
    <s v="DK"/>
  </r>
  <r>
    <n v="19915197402"/>
    <s v="INF760K01EI4"/>
    <d v="2021-02-26T00:00:00"/>
    <n v="357.09899999999999"/>
    <n v="140.01"/>
    <m/>
    <s v="DK HDFC NRO"/>
    <s v="DK Long Term"/>
    <x v="4"/>
    <n v="49997.430989999993"/>
    <s v="DK"/>
  </r>
  <r>
    <s v="4183002"/>
    <s v="INF277K01PK1"/>
    <d v="2021-02-26T00:00:00"/>
    <n v="7.9329999999999998"/>
    <n v="126.0444"/>
    <m/>
    <s v="DK HDFC NRO"/>
    <s v="Watching"/>
    <x v="5"/>
    <n v="999.9102251999999"/>
    <s v="DK"/>
  </r>
  <r>
    <s v="4183002"/>
    <s v="INF277K01QO1"/>
    <d v="2021-02-26T00:00:00"/>
    <n v="48.113999999999997"/>
    <n v="41.5655"/>
    <m/>
    <s v="DK HDFC NRO"/>
    <s v="Wipro-PF"/>
    <x v="2"/>
    <n v="1999.8824669999999"/>
    <s v="DK"/>
  </r>
  <r>
    <s v="10231846"/>
    <s v="INF879O01027"/>
    <d v="2021-02-26T00:00:00"/>
    <n v="386.976"/>
    <n v="38.760199999999998"/>
    <m/>
    <s v="RS SBI"/>
    <s v="Long Term"/>
    <x v="3"/>
    <n v="14999.267155199999"/>
    <s v="RS"/>
  </r>
  <r>
    <s v="10121489"/>
    <s v="INF879O01027"/>
    <d v="2021-03-01T00:00:00"/>
    <n v="637.56899999999996"/>
    <n v="39.209499999999998"/>
    <m/>
    <s v="DK HDFC NRO"/>
    <s v="Long Term"/>
    <x v="3"/>
    <n v="24998.761705499997"/>
    <s v="DK"/>
  </r>
  <r>
    <n v="79931510915"/>
    <s v="INF769K01BI1"/>
    <d v="2021-03-11T00:00:00"/>
    <n v="23.198"/>
    <n v="86.209000000000003"/>
    <m/>
    <s v="KOTAK M BANK - NRE"/>
    <s v="SIP"/>
    <x v="6"/>
    <n v="1999.8763820000001"/>
    <s v="DK"/>
  </r>
  <r>
    <n v="79933657726"/>
    <s v="INF769K01BI1"/>
    <d v="2021-03-11T00:00:00"/>
    <n v="28.998000000000001"/>
    <n v="86.209000000000003"/>
    <m/>
    <s v="KOTAK M BANK - NRE"/>
    <s v="SIP -JAG"/>
    <x v="6"/>
    <n v="2499.888582"/>
    <s v="DK"/>
  </r>
  <r>
    <s v="18968155"/>
    <s v="INF200K01T51"/>
    <d v="2021-03-15T00:00:00"/>
    <n v="33.86"/>
    <n v="88.596299999999999"/>
    <m/>
    <s v="DK HDFC NRO"/>
    <s v="SIP"/>
    <x v="7"/>
    <n v="2999.8707180000001"/>
    <s v="DK"/>
  </r>
  <r>
    <s v="4183002"/>
    <s v="INF277K01PK1"/>
    <d v="2021-03-15T00:00:00"/>
    <n v="7.734"/>
    <n v="129.29259999999999"/>
    <m/>
    <s v="DK HDFC NRO"/>
    <s v="Watching"/>
    <x v="5"/>
    <n v="999.9489683999999"/>
    <s v="DK"/>
  </r>
  <r>
    <n v="19915197402"/>
    <s v="INF760K01EI4"/>
    <d v="2021-03-16T00:00:00"/>
    <n v="104.21899999999999"/>
    <n v="143.91999999999999"/>
    <m/>
    <s v="DK HDFC NRO"/>
    <s v="DK Long Term"/>
    <x v="4"/>
    <n v="14999.198479999997"/>
    <s v="DK"/>
  </r>
  <r>
    <s v="4183002"/>
    <s v="INF277K01PK1"/>
    <d v="2021-03-16T00:00:00"/>
    <n v="7.7389999999999999"/>
    <n v="129.20330000000001"/>
    <m/>
    <s v="DK HDFC NRO"/>
    <s v="Watching"/>
    <x v="5"/>
    <n v="999.90433870000004"/>
    <s v="DK"/>
  </r>
  <r>
    <s v="4183002"/>
    <s v="INF277K01QO1"/>
    <d v="2021-03-16T00:00:00"/>
    <n v="47.094999999999999"/>
    <n v="42.465400000000002"/>
    <m/>
    <s v="DK HDFC NRO"/>
    <s v="Wipro-PF"/>
    <x v="2"/>
    <n v="1999.908013"/>
    <s v="DK"/>
  </r>
  <r>
    <s v="10231846"/>
    <s v="INF879O01027"/>
    <d v="2021-03-16T00:00:00"/>
    <n v="124.611"/>
    <n v="40.122799999999998"/>
    <m/>
    <s v="RS SBI"/>
    <s v="Long Term"/>
    <x v="3"/>
    <n v="4999.7422307999996"/>
    <s v="RS"/>
  </r>
  <r>
    <n v="19915197402"/>
    <s v="INF760K01EI4"/>
    <d v="2021-03-17T00:00:00"/>
    <n v="106.092"/>
    <n v="141.38"/>
    <m/>
    <s v="DK HDFC NRO"/>
    <s v="DK Long Term"/>
    <x v="4"/>
    <n v="14999.286959999999"/>
    <s v="DK"/>
  </r>
  <r>
    <s v="10121489"/>
    <s v="INF879O01027"/>
    <d v="2021-03-17T00:00:00"/>
    <n v="124.98"/>
    <n v="40.003799999999998"/>
    <m/>
    <s v="DK HDFC NRO"/>
    <s v="Long Term"/>
    <x v="3"/>
    <n v="4999.6749239999999"/>
    <s v="DK"/>
  </r>
  <r>
    <s v="4183002"/>
    <s v="INF277K01PK1"/>
    <d v="2021-03-17T00:00:00"/>
    <n v="7.8250000000000002"/>
    <n v="127.7829"/>
    <m/>
    <s v="DK HDFC NRO"/>
    <s v="Watching"/>
    <x v="5"/>
    <n v="999.90119249999998"/>
    <s v="DK"/>
  </r>
  <r>
    <s v="4183002"/>
    <s v="INF277K01QO1"/>
    <d v="2021-03-17T00:00:00"/>
    <n v="71.575000000000003"/>
    <n v="41.912199999999999"/>
    <m/>
    <s v="DK HDFC NRO"/>
    <s v="Wipro-PF"/>
    <x v="2"/>
    <n v="2999.8657149999999"/>
    <s v="DK"/>
  </r>
  <r>
    <s v="10231846"/>
    <s v="INF879O01027"/>
    <d v="2021-03-17T00:00:00"/>
    <n v="249.964"/>
    <n v="40.003799999999998"/>
    <m/>
    <s v="RS SBI"/>
    <s v="Long Term"/>
    <x v="3"/>
    <n v="9999.509863199999"/>
    <s v="RS"/>
  </r>
  <r>
    <n v="19915197402"/>
    <s v="INF760K01EI4"/>
    <d v="2021-03-18T00:00:00"/>
    <n v="322.77300000000002"/>
    <n v="139.41"/>
    <m/>
    <s v="DK HDFC NRO"/>
    <s v="DK Long Term"/>
    <x v="4"/>
    <n v="44997.783930000005"/>
    <s v="DK"/>
  </r>
  <r>
    <s v="4183002"/>
    <s v="INF277K01PK1"/>
    <d v="2021-03-18T00:00:00"/>
    <n v="15.836"/>
    <n v="126.285"/>
    <m/>
    <s v="DK HDFC NRO"/>
    <s v="Watching"/>
    <x v="5"/>
    <n v="1999.84926"/>
    <s v="DK"/>
  </r>
  <r>
    <s v="10231846"/>
    <s v="INF879O01027"/>
    <d v="2021-03-18T00:00:00"/>
    <n v="624.24900000000002"/>
    <n v="40.046100000000003"/>
    <m/>
    <s v="RS SBI"/>
    <s v="Long Term"/>
    <x v="3"/>
    <n v="24998.737878900003"/>
    <s v="RS"/>
  </r>
  <r>
    <s v="79936204371"/>
    <s v="INF769K01BI1"/>
    <d v="2021-03-18T00:00:00"/>
    <n v="29.713000000000001"/>
    <n v="84.134"/>
    <m/>
    <s v="RS SBI"/>
    <s v="SIP"/>
    <x v="6"/>
    <n v="2499.8735420000003"/>
    <s v="RS"/>
  </r>
  <r>
    <s v="10121489"/>
    <s v="INF879O01027"/>
    <d v="2021-03-19T00:00:00"/>
    <n v="621.51800000000003"/>
    <n v="40.222099999999998"/>
    <m/>
    <s v="DK HDFC NRO"/>
    <s v="Long Term"/>
    <x v="3"/>
    <n v="24998.759147799999"/>
    <s v="DK"/>
  </r>
  <r>
    <s v="10510544"/>
    <s v="INF879O01027"/>
    <d v="2021-03-19T00:00:00"/>
    <n v="621.51800000000003"/>
    <n v="40.222099999999998"/>
    <m/>
    <s v="KOTAK M BANK - NRE"/>
    <m/>
    <x v="3"/>
    <n v="24998.759147799999"/>
    <s v="DK"/>
  </r>
  <r>
    <n v="19915197402"/>
    <s v="INF760K01EI4"/>
    <d v="2021-03-22T00:00:00"/>
    <n v="177.506"/>
    <n v="140.88999999999999"/>
    <m/>
    <s v="DK HDFC NRO"/>
    <s v="DK Long Term"/>
    <x v="4"/>
    <n v="25008.820339999998"/>
    <s v="DK"/>
  </r>
  <r>
    <n v="79931510915"/>
    <s v="INF769K01BI1"/>
    <d v="2021-03-22T00:00:00"/>
    <n v="35.97"/>
    <n v="83.399000000000001"/>
    <m/>
    <s v="KOTAK M BANK - NRE"/>
    <s v="SIP"/>
    <x v="6"/>
    <n v="2999.8620299999998"/>
    <s v="DK"/>
  </r>
  <r>
    <s v="10231846"/>
    <s v="INF879O01027"/>
    <d v="2021-03-22T00:00:00"/>
    <n v="497.24400000000003"/>
    <n v="40.239800000000002"/>
    <m/>
    <s v="RS SBI"/>
    <s v="Long Term"/>
    <x v="3"/>
    <n v="20008.999111200003"/>
    <s v="RS"/>
  </r>
  <r>
    <n v="18917658"/>
    <s v="INF200K01QX4"/>
    <d v="2021-03-22T00:00:00"/>
    <n v="35.902000000000001"/>
    <n v="55.7042"/>
    <m/>
    <s v="RS SBI"/>
    <s v="Long Term"/>
    <x v="0"/>
    <n v="1999.8921884000001"/>
    <s v="RS"/>
  </r>
  <r>
    <n v="19915197402"/>
    <s v="INF760K01EI4"/>
    <d v="2021-03-24T00:00:00"/>
    <n v="179.511"/>
    <n v="139.26"/>
    <m/>
    <s v="DK HDFC NRO"/>
    <s v="DK Long Term"/>
    <x v="4"/>
    <n v="24998.701859999997"/>
    <s v="DK"/>
  </r>
  <r>
    <s v="18968155"/>
    <s v="INF200K01QX4"/>
    <d v="2021-03-24T00:00:00"/>
    <n v="54.555"/>
    <n v="54.987499999999997"/>
    <m/>
    <s v="DK HDFC NRO"/>
    <s v="Long Term"/>
    <x v="0"/>
    <n v="2999.8430624999996"/>
    <s v="DK"/>
  </r>
  <r>
    <s v="4183002"/>
    <s v="INF277K01QO1"/>
    <d v="2021-03-24T00:00:00"/>
    <n v="24.038"/>
    <n v="41.599400000000003"/>
    <m/>
    <s v="DK HDFC NRO"/>
    <s v="Wipro-PF"/>
    <x v="2"/>
    <n v="999.96637720000012"/>
    <s v="DK"/>
  </r>
  <r>
    <s v="10231846"/>
    <s v="INF879O01027"/>
    <d v="2021-03-24T00:00:00"/>
    <n v="374.012"/>
    <n v="40.103700000000003"/>
    <m/>
    <s v="RS SBI"/>
    <s v="Long Term"/>
    <x v="3"/>
    <n v="14999.265044400001"/>
    <s v="RS"/>
  </r>
  <r>
    <n v="19915197402"/>
    <s v="INF760K01EI4"/>
    <d v="2021-03-25T00:00:00"/>
    <n v="727.30899999999997"/>
    <n v="137.5"/>
    <m/>
    <s v="DK HDFC NRO"/>
    <s v="DK Long Term"/>
    <x v="4"/>
    <n v="100004.9875"/>
    <s v="DK"/>
  </r>
  <r>
    <s v="10121489"/>
    <s v="INF879O01027"/>
    <d v="2021-03-25T00:00:00"/>
    <n v="508.5"/>
    <n v="39.3294"/>
    <m/>
    <s v="DK HDFC NRO"/>
    <s v="Long Term"/>
    <x v="3"/>
    <n v="19998.999899999999"/>
    <s v="DK"/>
  </r>
  <r>
    <s v="10231846"/>
    <s v="INF879O01027"/>
    <d v="2021-03-25T00:00:00"/>
    <n v="635.625"/>
    <n v="39.3294"/>
    <m/>
    <s v="RS SBI"/>
    <s v="Long Term"/>
    <x v="3"/>
    <n v="24998.749875000001"/>
    <s v="RS"/>
  </r>
  <r>
    <s v="10510544"/>
    <s v="INF879O01027"/>
    <d v="2021-03-26T00:00:00"/>
    <n v="1267.944"/>
    <n v="39.435899999999997"/>
    <m/>
    <s v="KOTAK M BANK - NRE"/>
    <m/>
    <x v="3"/>
    <n v="50002.512789599998"/>
    <s v="DK"/>
  </r>
  <r>
    <n v="19915197402"/>
    <s v="INF760K01EI4"/>
    <d v="2021-04-05T00:00:00"/>
    <n v="1034.1110000000001"/>
    <n v="140.21"/>
    <m/>
    <s v="DK HDFC NRO"/>
    <s v="DK Long Term"/>
    <x v="4"/>
    <n v="144992.70331000001"/>
    <s v="DK"/>
  </r>
  <r>
    <s v="10121489"/>
    <s v="INF879O01027"/>
    <d v="2021-04-05T00:00:00"/>
    <n v="1887.4059999999999"/>
    <n v="40.264899999999997"/>
    <m/>
    <s v="DK HDFC NRO"/>
    <s v="Long Term"/>
    <x v="3"/>
    <n v="75996.213849399996"/>
    <s v="DK"/>
  </r>
  <r>
    <s v="4183002"/>
    <s v="INF277K01PK1"/>
    <d v="2021-04-05T00:00:00"/>
    <n v="23.780999999999999"/>
    <n v="126.1463"/>
    <m/>
    <s v="DK HDFC NRO"/>
    <s v="Watching"/>
    <x v="5"/>
    <n v="2999.8851602999998"/>
    <s v="DK"/>
  </r>
  <r>
    <s v="4183002"/>
    <s v="INF277K01QO1"/>
    <d v="2021-04-05T00:00:00"/>
    <n v="72.043999999999997"/>
    <n v="41.639200000000002"/>
    <m/>
    <s v="DK HDFC NRO"/>
    <s v="Wipro-PF"/>
    <x v="2"/>
    <n v="2999.8545248"/>
    <s v="DK"/>
  </r>
  <r>
    <s v="10231846"/>
    <s v="INF879O01027"/>
    <d v="2021-04-05T00:00:00"/>
    <n v="1241.7139999999999"/>
    <n v="40.264899999999997"/>
    <m/>
    <s v="RS SBI"/>
    <s v="Long Term"/>
    <x v="3"/>
    <n v="49997.490038599994"/>
    <s v="RS"/>
  </r>
  <r>
    <s v="10510544"/>
    <s v="INF879O01027"/>
    <d v="2021-04-06T00:00:00"/>
    <n v="1223.626"/>
    <n v="40.860100000000003"/>
    <m/>
    <s v="KOTAK M BANK - NRE"/>
    <m/>
    <x v="3"/>
    <n v="49997.480722600005"/>
    <s v="DK"/>
  </r>
  <r>
    <n v="79931510915"/>
    <s v="INF769K01BI1"/>
    <d v="2021-04-12T00:00:00"/>
    <n v="23.771999999999998"/>
    <n v="84.13"/>
    <m/>
    <s v="KOTAK M BANK - NRE"/>
    <s v="SIP"/>
    <x v="6"/>
    <n v="1999.9383599999999"/>
    <s v="DK"/>
  </r>
  <r>
    <n v="79933657726"/>
    <s v="INF769K01BI1"/>
    <d v="2021-04-12T00:00:00"/>
    <n v="29.713999999999999"/>
    <n v="84.13"/>
    <m/>
    <s v="KOTAK M BANK - NRE"/>
    <s v="SIP -JAG"/>
    <x v="6"/>
    <n v="2499.8388199999999"/>
    <s v="DK"/>
  </r>
  <r>
    <s v="18968155"/>
    <s v="INF200K01T51"/>
    <d v="2021-04-15T00:00:00"/>
    <n v="34.430999999999997"/>
    <n v="87.125900000000001"/>
    <m/>
    <s v="DK HDFC NRO"/>
    <s v="SIP"/>
    <x v="7"/>
    <n v="2999.8318629"/>
    <s v="DK"/>
  </r>
  <r>
    <s v="4183002"/>
    <s v="INF277K01PK1"/>
    <d v="2021-04-15T00:00:00"/>
    <n v="7.9889999999999999"/>
    <n v="125.1665"/>
    <m/>
    <s v="DK HDFC NRO"/>
    <s v="Watching"/>
    <x v="5"/>
    <n v="999.95516850000001"/>
    <s v="DK"/>
  </r>
  <r>
    <s v="79936204371"/>
    <s v="INF769K01BI1"/>
    <d v="2021-04-19T00:00:00"/>
    <n v="29.908000000000001"/>
    <n v="83.585999999999999"/>
    <m/>
    <s v="RS SBI"/>
    <s v="SIP"/>
    <x v="6"/>
    <n v="2499.8900880000001"/>
    <s v="RS"/>
  </r>
  <r>
    <n v="19915197402"/>
    <s v="INF760K01EI4"/>
    <d v="2021-04-20T00:00:00"/>
    <n v="253.886"/>
    <n v="137.85"/>
    <m/>
    <s v="DK HDFC NRO"/>
    <s v="DK Long Term"/>
    <x v="4"/>
    <n v="34998.185099999995"/>
    <s v="DK"/>
  </r>
  <r>
    <n v="79931510915"/>
    <s v="INF769K01BI1"/>
    <d v="2021-04-22T00:00:00"/>
    <n v="35.933999999999997"/>
    <n v="83.483000000000004"/>
    <m/>
    <s v="KOTAK M BANK - NRE"/>
    <s v="SIP"/>
    <x v="6"/>
    <n v="2999.8781220000001"/>
    <s v="DK"/>
  </r>
  <r>
    <n v="79931510915"/>
    <s v="INF769K01BI1"/>
    <d v="2021-05-11T00:00:00"/>
    <n v="23.05"/>
    <n v="86.762"/>
    <m/>
    <s v="KOTAK M BANK - NRE"/>
    <s v="SIP"/>
    <x v="6"/>
    <n v="1999.8641"/>
    <s v="DK"/>
  </r>
  <r>
    <n v="79933657726"/>
    <s v="INF769K01BI1"/>
    <d v="2021-05-11T00:00:00"/>
    <n v="28.812999999999999"/>
    <n v="86.762"/>
    <m/>
    <s v="KOTAK M BANK - NRE"/>
    <s v="SIP -JAG"/>
    <x v="6"/>
    <n v="2499.8735059999999"/>
    <s v="DK"/>
  </r>
  <r>
    <n v="19915197402"/>
    <s v="INF760K01EI4"/>
    <d v="2021-05-12T00:00:00"/>
    <n v="140.03100000000001"/>
    <n v="142.88999999999999"/>
    <m/>
    <s v="DK HDFC NRO"/>
    <s v="DK Long Term"/>
    <x v="4"/>
    <n v="20009.029589999998"/>
    <s v="DK"/>
  </r>
  <r>
    <s v="4183002"/>
    <s v="INF277K01PK1"/>
    <d v="2021-05-12T00:00:00"/>
    <n v="16.030999999999999"/>
    <n v="124.75"/>
    <m/>
    <s v="DK HDFC NRO"/>
    <s v="Watching"/>
    <x v="5"/>
    <n v="1999.8672499999998"/>
    <s v="DK"/>
  </r>
  <r>
    <s v="4183002"/>
    <s v="INF277K01QO1"/>
    <d v="2021-05-12T00:00:00"/>
    <n v="71.492000000000004"/>
    <n v="41.9604"/>
    <m/>
    <s v="DK HDFC NRO"/>
    <s v="Wipro-PF"/>
    <x v="2"/>
    <n v="2999.8329168"/>
    <s v="DK"/>
  </r>
  <r>
    <s v="4751368"/>
    <s v="INF174K01LF9"/>
    <d v="2021-05-12T00:00:00"/>
    <n v="27.684000000000001"/>
    <n v="180.59800000000001"/>
    <m/>
    <s v="DK HDFC NRO"/>
    <m/>
    <x v="8"/>
    <n v="4999.6750320000001"/>
    <s v="DK"/>
  </r>
  <r>
    <s v="10231846"/>
    <s v="INF879O01027"/>
    <d v="2021-05-12T00:00:00"/>
    <n v="592.851"/>
    <n v="42.167000000000002"/>
    <m/>
    <s v="RS SBI"/>
    <s v="Long Term"/>
    <x v="3"/>
    <n v="24998.748116999999"/>
    <s v="RS"/>
  </r>
  <r>
    <s v="10510544"/>
    <s v="INF879O01027"/>
    <d v="2021-05-14T00:00:00"/>
    <n v="597.34199999999998"/>
    <n v="41.891800000000003"/>
    <m/>
    <s v="KOTAK M BANK - NRE"/>
    <m/>
    <x v="3"/>
    <n v="25023.731595600002"/>
    <s v="DK"/>
  </r>
  <r>
    <s v="18968155"/>
    <s v="INF200K01T51"/>
    <d v="2021-05-14T00:00:00"/>
    <n v="32.509"/>
    <n v="92.276499999999999"/>
    <m/>
    <s v="DK HDFC NRO"/>
    <s v="SIP"/>
    <x v="7"/>
    <n v="2999.8167385000002"/>
    <s v="DK"/>
  </r>
  <r>
    <s v="4183002"/>
    <s v="INF277K01PK1"/>
    <d v="2021-05-14T00:00:00"/>
    <n v="8.0090000000000003"/>
    <n v="124.848"/>
    <m/>
    <s v="DK HDFC NRO"/>
    <s v="Watching"/>
    <x v="5"/>
    <n v="999.90763200000004"/>
    <s v="DK"/>
  </r>
  <r>
    <s v="79936204371"/>
    <s v="INF769K01BI1"/>
    <d v="2021-05-18T00:00:00"/>
    <n v="28.158999999999999"/>
    <n v="88.775999999999996"/>
    <m/>
    <s v="RS SBI"/>
    <s v="SIP"/>
    <x v="6"/>
    <n v="2499.8433839999998"/>
    <s v="RS"/>
  </r>
  <r>
    <s v="10231846"/>
    <s v="INF879O01027"/>
    <d v="2021-05-20T00:00:00"/>
    <n v="585.82799999999997"/>
    <n v="42.672499999999999"/>
    <m/>
    <s v="RS SBI"/>
    <s v="Long Term"/>
    <x v="3"/>
    <n v="24998.745329999998"/>
    <s v="RS"/>
  </r>
  <r>
    <s v="10510544"/>
    <s v="INF879O01027"/>
    <d v="2021-05-22T00:00:00"/>
    <n v="579.58399999999995"/>
    <n v="43.132199999999997"/>
    <m/>
    <s v="KOTAK M BANK - NRE"/>
    <m/>
    <x v="3"/>
    <n v="24998.733004799997"/>
    <s v="DK"/>
  </r>
  <r>
    <n v="79931510915"/>
    <s v="INF769K01BI1"/>
    <d v="2021-05-24T00:00:00"/>
    <n v="33.100999999999999"/>
    <n v="90.626999999999995"/>
    <m/>
    <s v="KOTAK M BANK - NRE"/>
    <s v="SIP"/>
    <x v="6"/>
    <n v="2999.8443269999998"/>
    <s v="DK"/>
  </r>
  <r>
    <s v="10231846"/>
    <s v="INF879O01027"/>
    <d v="2021-05-27T00:00:00"/>
    <n v="571.62599999999998"/>
    <n v="43.732700000000001"/>
    <m/>
    <s v="RS SBI"/>
    <s v="Long Term"/>
    <x v="3"/>
    <n v="24998.748370199999"/>
    <s v="RS"/>
  </r>
  <r>
    <s v="10231846"/>
    <s v="INF879O01027"/>
    <d v="2021-06-02T00:00:00"/>
    <n v="573.44500000000005"/>
    <n v="43.594000000000001"/>
    <m/>
    <s v="RS SBI"/>
    <s v="Long Term"/>
    <x v="3"/>
    <n v="24998.761330000001"/>
    <s v="RS"/>
  </r>
  <r>
    <s v="10510544"/>
    <s v="INF879O01027"/>
    <d v="2021-06-03T00:00:00"/>
    <n v="916.346"/>
    <n v="43.654899999999998"/>
    <m/>
    <s v="KOTAK M BANK - NRE"/>
    <m/>
    <x v="3"/>
    <n v="40002.992995399996"/>
    <s v="DK"/>
  </r>
  <r>
    <n v="79931510915"/>
    <s v="INF769K01BI1"/>
    <d v="2021-06-11T00:00:00"/>
    <n v="21.306999999999999"/>
    <n v="93.86"/>
    <m/>
    <s v="KOTAK M BANK - NRE"/>
    <s v="SIP"/>
    <x v="6"/>
    <n v="1999.8750199999999"/>
    <s v="DK"/>
  </r>
  <r>
    <n v="79933657726"/>
    <s v="INF769K01BI1"/>
    <d v="2021-06-11T00:00:00"/>
    <n v="26.634"/>
    <n v="93.86"/>
    <m/>
    <s v="KOTAK M BANK - NRE"/>
    <s v="SIP -JAG"/>
    <x v="6"/>
    <n v="2499.86724"/>
    <s v="DK"/>
  </r>
  <r>
    <s v="18968155"/>
    <s v="INF200K01T51"/>
    <d v="2021-06-14T00:00:00"/>
    <n v="30.23"/>
    <n v="99.233900000000006"/>
    <m/>
    <s v="DK HDFC NRO"/>
    <s v="SIP"/>
    <x v="7"/>
    <n v="2999.8407970000003"/>
    <s v="DK"/>
  </r>
  <r>
    <s v="4183002"/>
    <s v="INF277K01PK1"/>
    <d v="2021-06-14T00:00:00"/>
    <n v="7.4109999999999996"/>
    <n v="134.93389999999999"/>
    <m/>
    <s v="DK HDFC NRO"/>
    <s v="Watching"/>
    <x v="5"/>
    <n v="999.99513289999993"/>
    <s v="DK"/>
  </r>
  <r>
    <n v="19915197402"/>
    <s v="INF760K01EI4"/>
    <d v="2021-06-17T00:00:00"/>
    <n v="96.18"/>
    <n v="155.94999999999999"/>
    <m/>
    <s v="DK HDFC NRO"/>
    <s v="DK Long Term"/>
    <x v="4"/>
    <n v="14999.271000000001"/>
    <s v="DK"/>
  </r>
  <r>
    <s v="4183002"/>
    <s v="INF277K01QO1"/>
    <d v="2021-06-17T00:00:00"/>
    <n v="87.891000000000005"/>
    <n v="45.508699999999997"/>
    <m/>
    <s v="DK HDFC NRO"/>
    <s v="Wipro-PF"/>
    <x v="2"/>
    <n v="3999.8051516999999"/>
    <s v="DK"/>
  </r>
  <r>
    <s v="4751368"/>
    <s v="INF174K01LF9"/>
    <d v="2021-06-17T00:00:00"/>
    <n v="26.021999999999998"/>
    <n v="192.13300000000001"/>
    <m/>
    <s v="DK HDFC NRO"/>
    <m/>
    <x v="8"/>
    <n v="4999.6849259999999"/>
    <s v="DK"/>
  </r>
  <r>
    <n v="19915197402"/>
    <s v="INF760K01EI4"/>
    <d v="2021-06-18T00:00:00"/>
    <n v="64.338999999999999"/>
    <n v="155.41999999999999"/>
    <m/>
    <s v="DK HDFC NRO"/>
    <s v="DK Long Term"/>
    <x v="4"/>
    <n v="9999.5673799999986"/>
    <s v="DK"/>
  </r>
  <r>
    <s v="4751368"/>
    <s v="INF174K01LF9"/>
    <d v="2021-06-18T00:00:00"/>
    <n v="78.245999999999995"/>
    <n v="191.69300000000001"/>
    <m/>
    <s v="DK HDFC NRO"/>
    <m/>
    <x v="8"/>
    <n v="14999.210478000001"/>
    <s v="DK"/>
  </r>
  <r>
    <s v="10231846"/>
    <s v="INF879O01027"/>
    <d v="2021-06-18T00:00:00"/>
    <n v="225.14099999999999"/>
    <n v="44.414400000000001"/>
    <m/>
    <s v="RS SBI"/>
    <s v="Long Term"/>
    <x v="3"/>
    <n v="9999.5024303999999"/>
    <s v="RS"/>
  </r>
  <r>
    <s v="79936204371"/>
    <s v="INF769K01BI1"/>
    <d v="2021-06-18T00:00:00"/>
    <n v="26.777999999999999"/>
    <n v="93.356999999999999"/>
    <m/>
    <s v="RS SBI"/>
    <s v="SIP"/>
    <x v="6"/>
    <n v="2499.9137459999997"/>
    <s v="RS"/>
  </r>
  <r>
    <s v="10231846"/>
    <s v="INF879O01027"/>
    <d v="2021-06-21T00:00:00"/>
    <n v="338.27699999999999"/>
    <n v="44.3401"/>
    <m/>
    <s v="RS SBI"/>
    <s v="Long Term"/>
    <x v="3"/>
    <n v="14999.236007699999"/>
    <s v="RS"/>
  </r>
  <r>
    <n v="79931510915"/>
    <s v="INF769K01BI1"/>
    <d v="2021-06-22T00:00:00"/>
    <n v="31.850999999999999"/>
    <n v="94.183000000000007"/>
    <m/>
    <s v="KOTAK M BANK - NRE"/>
    <s v="SIP"/>
    <x v="6"/>
    <n v="2999.822733"/>
    <s v="DK"/>
  </r>
  <r>
    <n v="19915197402"/>
    <s v="INF760K01EI4"/>
    <d v="2021-06-29T00:00:00"/>
    <n v="315.94"/>
    <n v="158.25"/>
    <m/>
    <s v="DK HDFC NRO"/>
    <s v="DK Long Term"/>
    <x v="4"/>
    <n v="49997.504999999997"/>
    <s v="DK"/>
  </r>
  <r>
    <s v="10231846"/>
    <s v="INF879O01027"/>
    <d v="2021-07-01T00:00:00"/>
    <n v="1101.1079999999999"/>
    <n v="45.406500000000001"/>
    <m/>
    <s v="RS SBI"/>
    <s v="Long Term"/>
    <x v="3"/>
    <n v="49997.460401999997"/>
    <s v="RS"/>
  </r>
  <r>
    <n v="19915197402"/>
    <s v="INF760K01EI4"/>
    <d v="2021-07-07T00:00:00"/>
    <n v="929.25"/>
    <n v="161.52000000000001"/>
    <m/>
    <s v="DK HDFC NRO"/>
    <s v="DK Long Term"/>
    <x v="4"/>
    <n v="150092.46000000002"/>
    <s v="DK"/>
  </r>
  <r>
    <s v="10231846"/>
    <s v="INF879O01027"/>
    <d v="2021-07-07T00:00:00"/>
    <n v="543.274"/>
    <n v="46.199100000000001"/>
    <m/>
    <s v="RS SBI"/>
    <s v="Long Term"/>
    <x v="3"/>
    <n v="25098.769853400001"/>
    <s v="RS"/>
  </r>
  <r>
    <n v="19915197402"/>
    <s v="INF760K01EI4"/>
    <d v="2021-07-08T00:00:00"/>
    <n v="311.47199999999998"/>
    <n v="160.52000000000001"/>
    <m/>
    <s v="DK HDFC NRO"/>
    <s v="DK Long Term"/>
    <x v="4"/>
    <n v="49997.485439999997"/>
    <s v="DK"/>
  </r>
  <r>
    <s v="10121489"/>
    <s v="INF879O01027"/>
    <d v="2021-07-08T00:00:00"/>
    <n v="2144.1329999999998"/>
    <n v="46.170200000000001"/>
    <m/>
    <s v="DK HDFC NRO"/>
    <s v="Long Term"/>
    <x v="3"/>
    <n v="98995.049436599991"/>
    <s v="DK"/>
  </r>
  <r>
    <s v="4183002"/>
    <s v="INF277K01QO1"/>
    <d v="2021-07-08T00:00:00"/>
    <n v="218.12299999999999"/>
    <n v="45.843400000000003"/>
    <m/>
    <s v="DK HDFC NRO"/>
    <s v="Wipro-PF"/>
    <x v="2"/>
    <n v="9999.4999382000005"/>
    <s v="DK"/>
  </r>
  <r>
    <s v="4751368"/>
    <s v="INF174K01LF9"/>
    <d v="2021-07-08T00:00:00"/>
    <n v="380.89699999999999"/>
    <n v="196.89400000000001"/>
    <m/>
    <s v="DK HDFC NRO"/>
    <m/>
    <x v="8"/>
    <n v="74996.333918000004"/>
    <s v="DK"/>
  </r>
  <r>
    <n v="19915197402"/>
    <s v="INF760K01EI4"/>
    <d v="2021-07-09T00:00:00"/>
    <n v="311.76499999999999"/>
    <n v="160.69"/>
    <m/>
    <s v="DK HDFC NRO"/>
    <s v="DK Long Term"/>
    <x v="4"/>
    <n v="50097.517849999997"/>
    <s v="DK"/>
  </r>
  <r>
    <n v="79931510915"/>
    <s v="INF769K01BI1"/>
    <d v="2021-07-12T00:00:00"/>
    <n v="20.721"/>
    <n v="96.516999999999996"/>
    <m/>
    <s v="KOTAK M BANK - NRE"/>
    <s v="SIP"/>
    <x v="6"/>
    <n v="1999.9287569999999"/>
    <s v="DK"/>
  </r>
  <r>
    <s v="18968155"/>
    <s v="INF200K01T51"/>
    <d v="2021-07-13T00:00:00"/>
    <n v="28.658999999999999"/>
    <n v="104.6746"/>
    <m/>
    <s v="DK HDFC NRO"/>
    <s v="SIP"/>
    <x v="7"/>
    <n v="2999.8693613999999"/>
    <s v="DK"/>
  </r>
  <r>
    <s v="4183002"/>
    <s v="INF277K01PK1"/>
    <d v="2021-07-13T00:00:00"/>
    <n v="7.38"/>
    <n v="135.48759999999999"/>
    <m/>
    <s v="DK HDFC NRO"/>
    <s v="Watching"/>
    <x v="5"/>
    <n v="999.89848799999993"/>
    <s v="DK"/>
  </r>
  <r>
    <s v="79936204371"/>
    <s v="INF769K01BI1"/>
    <d v="2021-07-19T00:00:00"/>
    <n v="25.777000000000001"/>
    <n v="96.980999999999995"/>
    <m/>
    <s v="RS SBI"/>
    <s v="SIP"/>
    <x v="6"/>
    <n v="2499.8792370000001"/>
    <s v="RS"/>
  </r>
  <r>
    <n v="19915197402"/>
    <s v="INF760K01EI4"/>
    <d v="2021-07-20T00:00:00"/>
    <n v="154.95400000000001"/>
    <n v="161.33000000000001"/>
    <m/>
    <s v="DK HDFC NRO"/>
    <s v="DK Long Term"/>
    <x v="4"/>
    <n v="24998.728820000004"/>
    <s v="DK"/>
  </r>
  <r>
    <n v="79931510915"/>
    <s v="INF769K01BI1"/>
    <d v="2021-07-22T00:00:00"/>
    <n v="30.725000000000001"/>
    <n v="97.634"/>
    <m/>
    <s v="KOTAK M BANK - NRE"/>
    <s v="SIP"/>
    <x v="6"/>
    <n v="2999.80465"/>
    <s v="DK"/>
  </r>
  <r>
    <s v="91093138511"/>
    <s v="INF846K01K35"/>
    <d v="2021-07-28T00:00:00"/>
    <n v="82.462999999999994"/>
    <n v="60.63"/>
    <m/>
    <s v="KOTAK M BANK - NRE"/>
    <s v="SIP"/>
    <x v="9"/>
    <n v="4999.7316899999996"/>
    <s v="DK"/>
  </r>
  <r>
    <s v="91093138511"/>
    <s v="INF846K01K35"/>
    <d v="2021-08-06T00:00:00"/>
    <n v="81.870999999999995"/>
    <n v="61.13"/>
    <m/>
    <s v="KOTAK M BANK - NRE"/>
    <s v="SIP"/>
    <x v="9"/>
    <n v="5004.77423"/>
    <s v="DK"/>
  </r>
  <r>
    <n v="19915197402"/>
    <s v="INF760K01EI4"/>
    <d v="2021-08-06T00:00:00"/>
    <n v="935.13599999999997"/>
    <n v="165.85"/>
    <m/>
    <s v="DK HDFC NRO"/>
    <s v="DK Long Term"/>
    <x v="4"/>
    <n v="155092.30559999999"/>
    <s v="DK"/>
  </r>
  <r>
    <s v="10121489"/>
    <s v="INF879O01027"/>
    <d v="2021-08-06T00:00:00"/>
    <n v="4101.808"/>
    <n v="48.805300000000003"/>
    <m/>
    <s v="DK HDFC NRO"/>
    <s v="Long Term"/>
    <x v="3"/>
    <n v="200189.96998240001"/>
    <s v="DK"/>
  </r>
  <r>
    <s v="4183002"/>
    <s v="INF277K01QO1"/>
    <d v="2021-08-06T00:00:00"/>
    <n v="210.96799999999999"/>
    <n v="47.445599999999999"/>
    <m/>
    <s v="DK HDFC NRO"/>
    <s v="Wipro-PF"/>
    <x v="2"/>
    <n v="10009.5033408"/>
    <s v="DK"/>
  </r>
  <r>
    <s v="10231846"/>
    <s v="INF879O01027"/>
    <d v="2021-08-06T00:00:00"/>
    <n v="512.21400000000006"/>
    <n v="48.805300000000003"/>
    <m/>
    <s v="RS SBI"/>
    <s v="Long Term"/>
    <x v="3"/>
    <n v="24998.757934200003"/>
    <s v="RS"/>
  </r>
  <r>
    <s v="91093138511"/>
    <s v="INF846K01K35"/>
    <d v="2021-08-09T00:00:00"/>
    <n v="655.23299999999995"/>
    <n v="61.05"/>
    <m/>
    <s v="KOTAK M BANK - NRE"/>
    <s v="SIP"/>
    <x v="9"/>
    <n v="40001.974649999996"/>
    <s v="DK"/>
  </r>
  <r>
    <n v="19915197402"/>
    <s v="INF760K01EI4"/>
    <d v="2021-08-09T00:00:00"/>
    <n v="1023.059"/>
    <n v="166.16"/>
    <m/>
    <s v="DK HDFC NRO"/>
    <s v="DK Long Term"/>
    <x v="4"/>
    <n v="169991.48343999998"/>
    <s v="DK"/>
  </r>
  <r>
    <s v="10121489"/>
    <s v="INF879O01027"/>
    <d v="2021-08-09T00:00:00"/>
    <n v="6156.9610000000002"/>
    <n v="48.722900000000003"/>
    <m/>
    <s v="DK HDFC NRO"/>
    <s v="Long Term"/>
    <x v="3"/>
    <n v="299984.99510690005"/>
    <s v="DK"/>
  </r>
  <r>
    <s v="10231846"/>
    <s v="INF879O01027"/>
    <d v="2021-08-09T00:00:00"/>
    <n v="513.18299999999999"/>
    <n v="48.722900000000003"/>
    <m/>
    <s v="RS SBI"/>
    <s v="Long Term"/>
    <x v="3"/>
    <n v="25003.763990700001"/>
    <s v="RS"/>
  </r>
  <r>
    <s v="10510544"/>
    <s v="INF879O01027"/>
    <d v="2021-08-10T00:00:00"/>
    <n v="103.206"/>
    <n v="48.444200000000002"/>
    <m/>
    <s v="KOTAK M BANK - NRE"/>
    <m/>
    <x v="3"/>
    <n v="4999.7321052000007"/>
    <s v="DK"/>
  </r>
  <r>
    <s v="91093138511"/>
    <s v="INF846K01K35"/>
    <d v="2021-08-11T00:00:00"/>
    <n v="49.658000000000001"/>
    <n v="60.41"/>
    <m/>
    <s v="KOTAK M BANK - NRE"/>
    <s v="SIP"/>
    <x v="9"/>
    <n v="2999.8397799999998"/>
    <s v="DK"/>
  </r>
  <r>
    <n v="79931510915"/>
    <s v="INF769K01BI1"/>
    <d v="2021-08-11T00:00:00"/>
    <n v="19.908999999999999"/>
    <n v="100.452"/>
    <m/>
    <s v="KOTAK M BANK - NRE"/>
    <s v="SIP"/>
    <x v="6"/>
    <n v="1999.8988679999998"/>
    <s v="DK"/>
  </r>
  <r>
    <s v="18968155"/>
    <s v="INF200K01T51"/>
    <d v="2021-08-13T00:00:00"/>
    <n v="29.091999999999999"/>
    <n v="103.1156"/>
    <m/>
    <s v="DK HDFC NRO"/>
    <s v="SIP"/>
    <x v="7"/>
    <n v="2999.8390351999997"/>
    <s v="DK"/>
  </r>
  <r>
    <s v="4183002"/>
    <s v="INF277K01PK1"/>
    <d v="2021-08-13T00:00:00"/>
    <n v="7.0220000000000002"/>
    <n v="142.40549999999999"/>
    <m/>
    <s v="DK HDFC NRO"/>
    <s v="Watching"/>
    <x v="5"/>
    <n v="999.97142099999996"/>
    <s v="DK"/>
  </r>
  <r>
    <s v="91093138511"/>
    <s v="INF846K01K35"/>
    <d v="2021-08-17T00:00:00"/>
    <n v="247.10499999999999"/>
    <n v="60.7"/>
    <m/>
    <s v="KOTAK M BANK - NRE"/>
    <s v="SIP"/>
    <x v="9"/>
    <n v="14999.273499999999"/>
    <s v="DK"/>
  </r>
  <r>
    <s v="10121489"/>
    <s v="INF879O01027"/>
    <d v="2021-08-17T00:00:00"/>
    <n v="2044.34"/>
    <n v="48.917999999999999"/>
    <m/>
    <s v="DK HDFC NRO"/>
    <s v="Long Term"/>
    <x v="3"/>
    <n v="100005.02411999999"/>
    <s v="DK"/>
  </r>
  <r>
    <s v="10231846"/>
    <s v="INF879O01027"/>
    <d v="2021-08-17T00:00:00"/>
    <n v="511.03399999999999"/>
    <n v="48.917999999999999"/>
    <m/>
    <s v="RS SBI"/>
    <s v="Long Term"/>
    <x v="3"/>
    <n v="24998.761211999998"/>
    <s v="RS"/>
  </r>
  <r>
    <s v="79936204371"/>
    <s v="INF769K01BI1"/>
    <d v="2021-08-18T00:00:00"/>
    <n v="25.238"/>
    <n v="99.052999999999997"/>
    <m/>
    <s v="RS SBI"/>
    <s v="SIP"/>
    <x v="6"/>
    <n v="2499.8996139999999"/>
    <s v="RS"/>
  </r>
  <r>
    <s v="10121489"/>
    <s v="INF879O01027"/>
    <d v="2021-08-20T00:00:00"/>
    <n v="517.64400000000001"/>
    <n v="48.293300000000002"/>
    <m/>
    <s v="DK HDFC NRO"/>
    <s v="Long Term"/>
    <x v="3"/>
    <n v="24998.736985200001"/>
    <s v="DK"/>
  </r>
  <r>
    <s v="10231846"/>
    <s v="INF879O01027"/>
    <d v="2021-08-20T00:00:00"/>
    <n v="207.05799999999999"/>
    <n v="48.293300000000002"/>
    <m/>
    <s v="RS SBI"/>
    <s v="Long Term"/>
    <x v="3"/>
    <n v="9999.5141113999998"/>
    <s v="RS"/>
  </r>
  <r>
    <n v="79931510915"/>
    <s v="INF769K01BI1"/>
    <d v="2021-08-22T00:00:00"/>
    <n v="30.13"/>
    <n v="99.564999999999998"/>
    <m/>
    <s v="KOTAK M BANK - NRE"/>
    <s v="SIP"/>
    <x v="6"/>
    <n v="2999.89345"/>
    <s v="DK"/>
  </r>
  <r>
    <s v="91093138511"/>
    <s v="INF846K01K35"/>
    <d v="2021-08-25T00:00:00"/>
    <n v="532.774"/>
    <n v="60.06"/>
    <m/>
    <s v="KOTAK M BANK - NRE"/>
    <s v="SIP"/>
    <x v="9"/>
    <n v="31998.406440000002"/>
    <s v="DK"/>
  </r>
  <r>
    <n v="19915197402"/>
    <s v="INF760K01EI4"/>
    <d v="2021-08-25T00:00:00"/>
    <n v="299.584"/>
    <n v="166.89"/>
    <m/>
    <s v="DK HDFC NRO"/>
    <s v="DK Long Term"/>
    <x v="4"/>
    <n v="49997.573759999999"/>
    <s v="DK"/>
  </r>
  <r>
    <s v="10231846"/>
    <s v="INF879O01027"/>
    <d v="2021-08-25T00:00:00"/>
    <n v="306.75"/>
    <n v="48.897300000000001"/>
    <m/>
    <s v="RS SBI"/>
    <s v="Long Term"/>
    <x v="3"/>
    <n v="14999.246775"/>
    <s v="RS"/>
  </r>
  <r>
    <s v="10121489"/>
    <s v="INF879O01027"/>
    <d v="2021-08-27T00:00:00"/>
    <n v="1527.325"/>
    <n v="49.103000000000002"/>
    <m/>
    <s v="DK HDFC NRO"/>
    <s v="Long Term"/>
    <x v="3"/>
    <n v="74996.239475000009"/>
    <s v="DK"/>
  </r>
  <r>
    <s v="19915197402"/>
    <s v="INF760K01JW4"/>
    <d v="2021-09-03T00:00:00"/>
    <n v="99.995000000000005"/>
    <n v="10"/>
    <m/>
    <s v="DK HDFC NRO"/>
    <s v="SIP"/>
    <x v="10"/>
    <n v="999.95"/>
    <s v="DK"/>
  </r>
  <r>
    <s v="19915197402"/>
    <s v="INF760K01JW4"/>
    <d v="2021-09-11T00:00:00"/>
    <n v="99.894999999999996"/>
    <n v="10.01"/>
    <m/>
    <s v="DK HDFC NRO"/>
    <s v="SIP"/>
    <x v="10"/>
    <n v="999.94894999999997"/>
    <s v="DK"/>
  </r>
  <r>
    <s v="91093138511"/>
    <s v="INF846K01K35"/>
    <d v="2021-09-13T00:00:00"/>
    <n v="45.981999999999999"/>
    <n v="65.239999999999995"/>
    <m/>
    <s v="KOTAK M BANK - NRE"/>
    <s v="SIP"/>
    <x v="9"/>
    <n v="2999.8656799999999"/>
    <s v="DK"/>
  </r>
  <r>
    <n v="79931510915"/>
    <s v="INF769K01BI1"/>
    <d v="2021-09-13T00:00:00"/>
    <n v="18.795000000000002"/>
    <n v="106.405"/>
    <m/>
    <s v="KOTAK M BANK - NRE"/>
    <s v="SIP"/>
    <x v="6"/>
    <n v="1999.8819750000002"/>
    <s v="DK"/>
  </r>
  <r>
    <s v="10510544"/>
    <s v="INF879O01027"/>
    <d v="2021-09-14T00:00:00"/>
    <n v="96.450999999999993"/>
    <n v="51.837400000000002"/>
    <m/>
    <s v="KOTAK M BANK - NRE"/>
    <m/>
    <x v="3"/>
    <n v="4999.7690673999996"/>
    <s v="DK"/>
  </r>
  <r>
    <s v="4183002"/>
    <s v="INF277K01PK1"/>
    <d v="2021-09-14T00:00:00"/>
    <n v="6.6879999999999997"/>
    <n v="149.5164"/>
    <m/>
    <s v="DK HDFC NRO"/>
    <s v="Watching"/>
    <x v="5"/>
    <n v="999.96568319999994"/>
    <s v="DK"/>
  </r>
  <r>
    <s v="79936204371"/>
    <s v="INF769K01BI1"/>
    <d v="2021-09-20T00:00:00"/>
    <n v="23.817"/>
    <n v="104.962"/>
    <m/>
    <s v="RS SBI"/>
    <s v="SIP"/>
    <x v="6"/>
    <n v="2499.879954"/>
    <s v="RS"/>
  </r>
  <r>
    <n v="79931510915"/>
    <s v="INF769K01BI1"/>
    <d v="2021-09-22T00:00:00"/>
    <n v="28.193000000000001"/>
    <n v="106.405"/>
    <m/>
    <s v="KOTAK M BANK - NRE"/>
    <s v="SIP"/>
    <x v="6"/>
    <n v="2999.8761650000001"/>
    <s v="DK"/>
  </r>
  <r>
    <n v="19915197402"/>
    <s v="INF760K01EI4"/>
    <d v="2021-09-27T00:00:00"/>
    <n v="277.93099999999998"/>
    <n v="179.91"/>
    <m/>
    <s v="DK HDFC NRO"/>
    <s v="DK Long Term"/>
    <x v="4"/>
    <n v="50002.566209999997"/>
    <s v="DK"/>
  </r>
  <r>
    <s v="19915197402"/>
    <s v="INF760K01JW4"/>
    <d v="2021-09-27T00:00:00"/>
    <n v="295.84699999999998"/>
    <n v="10.15"/>
    <s v="Top up"/>
    <s v="DK HDFC NRO"/>
    <s v="SIP"/>
    <x v="10"/>
    <n v="3002.8470499999999"/>
    <s v="DK"/>
  </r>
  <r>
    <s v="10121489"/>
    <s v="INF879O01027"/>
    <d v="2021-09-27T00:00:00"/>
    <n v="1504.5160000000001"/>
    <n v="53.175899999999999"/>
    <m/>
    <s v="DK HDFC NRO"/>
    <s v="Long Term"/>
    <x v="3"/>
    <n v="80003.992364400008"/>
    <s v="DK"/>
  </r>
  <r>
    <s v="18968155"/>
    <s v="INF200K01T51"/>
    <d v="2021-09-27T00:00:00"/>
    <n v="27.443000000000001"/>
    <n v="109.313"/>
    <m/>
    <s v="DK HDFC NRO"/>
    <s v="SIP"/>
    <x v="7"/>
    <n v="2999.876659"/>
    <s v="DK"/>
  </r>
  <r>
    <s v="91093138511"/>
    <s v="INF846K01K35"/>
    <d v="2021-09-28T00:00:00"/>
    <n v="734.68299999999999"/>
    <n v="63.97"/>
    <m/>
    <s v="KOTAK M BANK - NRE"/>
    <s v="SIP"/>
    <x v="9"/>
    <n v="46997.67151"/>
    <s v="DK"/>
  </r>
  <r>
    <n v="19915197402"/>
    <s v="INF760K01EI4"/>
    <d v="2021-09-28T00:00:00"/>
    <n v="280.71100000000001"/>
    <n v="178.11"/>
    <m/>
    <s v="DK HDFC NRO"/>
    <s v="DK Long Term"/>
    <x v="4"/>
    <n v="49997.436210000007"/>
    <s v="DK"/>
  </r>
  <r>
    <s v="19915197402"/>
    <s v="INF760K01JW4"/>
    <d v="2021-09-28T00:00:00"/>
    <n v="495.03"/>
    <n v="10.11"/>
    <s v="Top up"/>
    <s v="DK HDFC NRO"/>
    <s v="SIP"/>
    <x v="10"/>
    <n v="5004.7532999999994"/>
    <s v="DK"/>
  </r>
  <r>
    <s v="10121489"/>
    <s v="INF879O01027"/>
    <d v="2021-09-28T00:00:00"/>
    <n v="379.12700000000001"/>
    <n v="52.7502"/>
    <m/>
    <s v="DK HDFC NRO"/>
    <s v="Long Term"/>
    <x v="3"/>
    <n v="19999.025075400001"/>
    <s v="DK"/>
  </r>
  <r>
    <s v="10510544"/>
    <s v="INF879O01027"/>
    <d v="2021-09-28T00:00:00"/>
    <n v="947.91099999999994"/>
    <n v="52.7502"/>
    <m/>
    <s v="KOTAK M BANK - NRE"/>
    <m/>
    <x v="3"/>
    <n v="50002.494832199998"/>
    <s v="DK"/>
  </r>
  <r>
    <s v="4183002"/>
    <s v="INF277K01PK1"/>
    <d v="2021-09-28T00:00:00"/>
    <n v="13.061"/>
    <n v="153.11799999999999"/>
    <m/>
    <s v="DK HDFC NRO"/>
    <s v="Watching"/>
    <x v="5"/>
    <n v="1999.874198"/>
    <s v="DK"/>
  </r>
  <r>
    <s v="91093138511"/>
    <s v="INF846K01K35"/>
    <d v="2021-09-30T00:00:00"/>
    <n v="776.84100000000001"/>
    <n v="64.36"/>
    <m/>
    <s v="KOTAK M BANK - NRE"/>
    <s v="SIP"/>
    <x v="9"/>
    <n v="49997.48676"/>
    <s v="DK"/>
  </r>
  <r>
    <s v="10510544"/>
    <s v="INF879O01027"/>
    <d v="2021-09-30T00:00:00"/>
    <n v="1911.8009999999999"/>
    <n v="52.356400000000001"/>
    <m/>
    <s v="KOTAK M BANK - NRE"/>
    <m/>
    <x v="3"/>
    <n v="100095.0178764"/>
    <s v="DK"/>
  </r>
  <r>
    <s v="91093138511"/>
    <s v="INF846K01K35"/>
    <d v="2021-10-11T00:00:00"/>
    <n v="44.356999999999999"/>
    <n v="67.63"/>
    <m/>
    <s v="KOTAK M BANK - NRE"/>
    <s v="SIP"/>
    <x v="9"/>
    <n v="2999.8639099999996"/>
    <s v="DK"/>
  </r>
  <r>
    <s v="19915197402"/>
    <s v="INF760K01JW4"/>
    <d v="2021-10-11T00:00:00"/>
    <n v="93.54"/>
    <n v="10.69"/>
    <m/>
    <s v="DK HDFC NRO"/>
    <s v="SIP"/>
    <x v="10"/>
    <n v="999.94259999999997"/>
    <s v="DK"/>
  </r>
  <r>
    <n v="79931510915"/>
    <s v="INF769K01BI1"/>
    <d v="2021-10-11T00:00:00"/>
    <n v="18.102"/>
    <n v="110.48"/>
    <m/>
    <s v="KOTAK M BANK - NRE"/>
    <s v="SIP"/>
    <x v="6"/>
    <n v="1999.9089600000002"/>
    <s v="DK"/>
  </r>
  <r>
    <s v="10510544"/>
    <s v="INF879O01027"/>
    <d v="2021-10-12T00:00:00"/>
    <n v="92.62"/>
    <n v="53.9816"/>
    <m/>
    <s v="KOTAK M BANK - NRE"/>
    <m/>
    <x v="3"/>
    <n v="4999.7757920000004"/>
    <s v="DK"/>
  </r>
  <r>
    <s v="4183002"/>
    <s v="INF277K01PK1"/>
    <d v="2021-10-14T00:00:00"/>
    <n v="6.3579999999999997"/>
    <n v="157.26499999999999"/>
    <m/>
    <s v="DK HDFC NRO"/>
    <s v="Watching"/>
    <x v="5"/>
    <n v="999.89086999999984"/>
    <s v="DK"/>
  </r>
  <r>
    <s v="91093138511"/>
    <s v="INF846K01K35"/>
    <d v="2021-10-20T00:00:00"/>
    <n v="407.63200000000001"/>
    <n v="66.25"/>
    <m/>
    <s v="KOTAK M BANK - NRE"/>
    <s v="SIP"/>
    <x v="9"/>
    <n v="27005.62"/>
    <s v="DK"/>
  </r>
  <r>
    <s v="19915197402"/>
    <s v="INF760K01JW4"/>
    <d v="2021-10-20T00:00:00"/>
    <n v="378.78899999999999"/>
    <n v="10.57"/>
    <s v="Top up"/>
    <s v="DK HDFC NRO"/>
    <s v="SIP"/>
    <x v="10"/>
    <n v="4003.7997300000002"/>
    <s v="DK"/>
  </r>
  <r>
    <s v="10510544"/>
    <s v="INF879O01027"/>
    <d v="2021-10-20T00:00:00"/>
    <n v="1732.924"/>
    <n v="54.875599999999999"/>
    <m/>
    <s v="KOTAK M BANK - NRE"/>
    <m/>
    <x v="3"/>
    <n v="95095.244254399993"/>
    <s v="DK"/>
  </r>
  <r>
    <s v="79936204371"/>
    <s v="INF769K01BI1"/>
    <d v="2021-10-20T00:00:00"/>
    <n v="22.827000000000002"/>
    <n v="109.514"/>
    <m/>
    <s v="RS SBI"/>
    <s v="SIP"/>
    <x v="6"/>
    <n v="2499.8760780000002"/>
    <s v="RS"/>
  </r>
  <r>
    <s v="91093138511"/>
    <s v="INF846K01K35"/>
    <d v="2021-10-21T00:00:00"/>
    <n v="457.57299999999998"/>
    <n v="65.56"/>
    <m/>
    <s v="KOTAK M BANK - NRE"/>
    <s v="SIP"/>
    <x v="9"/>
    <n v="29998.48588"/>
    <s v="DK"/>
  </r>
  <r>
    <s v="10510544"/>
    <s v="INF879O01027"/>
    <d v="2021-10-21T00:00:00"/>
    <n v="1842.702"/>
    <n v="54.319699999999997"/>
    <m/>
    <s v="KOTAK M BANK - NRE"/>
    <m/>
    <x v="3"/>
    <n v="100095.0198294"/>
    <s v="DK"/>
  </r>
  <r>
    <n v="79931510915"/>
    <s v="INF769K01BI1"/>
    <d v="2021-10-22T00:00:00"/>
    <n v="27.71"/>
    <n v="108.25700000000001"/>
    <m/>
    <s v="KOTAK M BANK - NRE"/>
    <s v="SIP"/>
    <x v="6"/>
    <n v="2999.8014700000003"/>
    <s v="DK"/>
  </r>
  <r>
    <s v="10510544"/>
    <s v="INF879O01027"/>
    <d v="2021-10-28T00:00:00"/>
    <n v="471.19400000000002"/>
    <n v="53.064700000000002"/>
    <m/>
    <s v="KOTAK M BANK - NRE"/>
    <m/>
    <x v="3"/>
    <n v="25003.7682518"/>
    <s v="DK"/>
  </r>
  <r>
    <s v="91093138511"/>
    <s v="INF846K01K35"/>
    <d v="2021-10-29T00:00:00"/>
    <n v="309.10399999999998"/>
    <n v="64.7"/>
    <m/>
    <s v="KOTAK M BANK - NRE"/>
    <s v="SIP"/>
    <x v="9"/>
    <n v="19999.0288"/>
    <s v="DK"/>
  </r>
  <r>
    <s v="10510544"/>
    <s v="INF879O01027"/>
    <d v="2021-10-29T00:00:00"/>
    <n v="282.33300000000003"/>
    <n v="53.143799999999999"/>
    <m/>
    <s v="KOTAK M BANK - NRE"/>
    <m/>
    <x v="3"/>
    <n v="15004.248485400001"/>
    <s v="DK"/>
  </r>
  <r>
    <s v="91093138511"/>
    <s v="INF846K01K35"/>
    <d v="2021-11-11T00:00:00"/>
    <n v="44.154000000000003"/>
    <n v="67.94"/>
    <m/>
    <s v="KOTAK M BANK - NRE"/>
    <s v="SIP"/>
    <x v="9"/>
    <n v="2999.82276"/>
    <s v="DK"/>
  </r>
  <r>
    <s v="19915197402"/>
    <s v="INF760K01JW4"/>
    <d v="2021-11-11T00:00:00"/>
    <n v="93.191999999999993"/>
    <n v="10.73"/>
    <m/>
    <s v="DK HDFC NRO"/>
    <s v="SIP"/>
    <x v="10"/>
    <n v="999.95015999999998"/>
    <s v="DK"/>
  </r>
  <r>
    <n v="79931510915"/>
    <s v="INF769K01BI1"/>
    <d v="2021-11-11T00:00:00"/>
    <n v="18.052"/>
    <n v="110.785"/>
    <m/>
    <s v="KOTAK M BANK - NRE"/>
    <s v="SIP"/>
    <x v="6"/>
    <n v="1999.8908199999998"/>
    <s v="DK"/>
  </r>
  <r>
    <s v="10510544"/>
    <s v="INF879O01027"/>
    <d v="2021-11-12T00:00:00"/>
    <n v="91.647000000000006"/>
    <n v="54.554200000000002"/>
    <m/>
    <s v="KOTAK M BANK - NRE"/>
    <m/>
    <x v="3"/>
    <n v="4999.7287674000008"/>
    <s v="DK"/>
  </r>
  <r>
    <s v="4183002"/>
    <s v="INF277K01PK1"/>
    <d v="2021-11-12T00:00:00"/>
    <n v="6.4160000000000004"/>
    <n v="155.8425"/>
    <m/>
    <s v="DK HDFC NRO"/>
    <s v="Watching"/>
    <x v="5"/>
    <n v="999.88548000000003"/>
    <s v="DK"/>
  </r>
  <r>
    <s v="79936204371"/>
    <s v="INF769K01BI1"/>
    <d v="2021-11-18T00:00:00"/>
    <n v="23.568999999999999"/>
    <n v="106.068"/>
    <m/>
    <s v="RS SBI"/>
    <s v="SIP"/>
    <x v="6"/>
    <n v="2499.9166919999998"/>
    <s v="RS"/>
  </r>
  <r>
    <s v="91093138511"/>
    <s v="INF846K01K35"/>
    <d v="2021-11-22T00:00:00"/>
    <n v="106.232"/>
    <n v="65.89"/>
    <m/>
    <s v="KOTAK M BANK - NRE"/>
    <s v="SIP"/>
    <x v="9"/>
    <n v="6999.6264799999999"/>
    <s v="DK"/>
  </r>
  <r>
    <n v="79931510915"/>
    <s v="INF769K01BI1"/>
    <d v="2021-11-22T00:00:00"/>
    <n v="28.058"/>
    <n v="106.916"/>
    <m/>
    <s v="KOTAK M BANK - NRE"/>
    <s v="SIP"/>
    <x v="6"/>
    <n v="2999.8491279999998"/>
    <s v="DK"/>
  </r>
  <r>
    <s v="10510544"/>
    <s v="INF879O01027"/>
    <d v="2021-11-22T00:00:00"/>
    <n v="277.25200000000001"/>
    <n v="54.117800000000003"/>
    <m/>
    <s v="KOTAK M BANK - NRE"/>
    <m/>
    <x v="3"/>
    <n v="15004.268285600001"/>
    <s v="DK"/>
  </r>
  <r>
    <s v="19915197402"/>
    <s v="INF760K01JW4"/>
    <d v="2021-12-11T00:00:00"/>
    <n v="96.057000000000002"/>
    <n v="10.41"/>
    <m/>
    <s v="DK HDFC NRO"/>
    <s v="SIP"/>
    <x v="10"/>
    <n v="999.95337000000006"/>
    <s v="DK"/>
  </r>
  <r>
    <s v="91093138511"/>
    <s v="INF846K01K35"/>
    <d v="2021-12-13T00:00:00"/>
    <n v="44.161000000000001"/>
    <n v="67.930000000000007"/>
    <m/>
    <s v="KOTAK M BANK - NRE"/>
    <s v="SIP"/>
    <x v="9"/>
    <n v="2999.8567300000004"/>
    <s v="DK"/>
  </r>
  <r>
    <n v="79931510915"/>
    <s v="INF769K01BI1"/>
    <d v="2021-12-13T00:00:00"/>
    <n v="18.632999999999999"/>
    <n v="107.333"/>
    <m/>
    <s v="KOTAK M BANK - NRE"/>
    <s v="SIP"/>
    <x v="6"/>
    <n v="1999.9357889999999"/>
    <s v="DK"/>
  </r>
  <r>
    <s v="10510544"/>
    <s v="INF879O01027"/>
    <d v="2021-12-13T00:00:00"/>
    <n v="90.715000000000003"/>
    <n v="55.115000000000002"/>
    <m/>
    <s v="KOTAK M BANK - NRE"/>
    <m/>
    <x v="3"/>
    <n v="4999.7572250000003"/>
    <s v="DK"/>
  </r>
  <r>
    <s v="4183002"/>
    <s v="INF277K01PK1"/>
    <d v="2021-12-14T00:00:00"/>
    <n v="6.7"/>
    <n v="149.2456"/>
    <m/>
    <s v="DK HDFC NRO"/>
    <s v="Watching"/>
    <x v="5"/>
    <n v="999.94551999999999"/>
    <s v="DK"/>
  </r>
  <r>
    <s v="10510544"/>
    <s v="INF879O01027"/>
    <d v="2021-12-17T00:00:00"/>
    <n v="2532.357"/>
    <n v="53.504800000000003"/>
    <m/>
    <s v="KOTAK M BANK - NRE"/>
    <m/>
    <x v="3"/>
    <n v="135493.25481360001"/>
    <s v="DK"/>
  </r>
  <r>
    <s v="79936204371"/>
    <s v="INF769K01BI1"/>
    <d v="2021-12-20T00:00:00"/>
    <n v="24.253"/>
    <n v="103.077"/>
    <m/>
    <s v="RS SBI"/>
    <s v="SIP"/>
    <x v="6"/>
    <n v="2499.926481"/>
    <s v="RS"/>
  </r>
  <r>
    <n v="79931510915"/>
    <s v="INF769K01BI1"/>
    <d v="2021-12-22T00:00:00"/>
    <n v="28.760999999999999"/>
    <n v="104.304"/>
    <m/>
    <s v="KOTAK M BANK - NRE"/>
    <s v="SIP"/>
    <x v="6"/>
    <n v="2999.8873439999998"/>
    <s v="DK"/>
  </r>
  <r>
    <s v="91093138511"/>
    <s v="INF846K01K35"/>
    <d v="2021-12-29T00:00:00"/>
    <n v="102.815"/>
    <n v="68.08"/>
    <m/>
    <s v="KOTAK M BANK - NRE"/>
    <s v="SIP"/>
    <x v="9"/>
    <n v="6999.6451999999999"/>
    <s v="DK"/>
  </r>
  <r>
    <s v="19915197402"/>
    <s v="INF760K01JW4"/>
    <d v="2021-12-29T00:00:00"/>
    <n v="97.271000000000001"/>
    <n v="10.28"/>
    <m/>
    <s v="DK HDFC NRO"/>
    <s v="SIP"/>
    <x v="10"/>
    <n v="999.94587999999999"/>
    <s v="DK"/>
  </r>
  <r>
    <s v="91093138511"/>
    <s v="INF846K01K35"/>
    <d v="2022-01-11T00:00:00"/>
    <n v="42.539000000000001"/>
    <n v="70.52"/>
    <m/>
    <s v="KOTAK M BANK - NRE"/>
    <s v="SIP"/>
    <x v="9"/>
    <n v="2999.8502800000001"/>
    <s v="DK"/>
  </r>
  <r>
    <s v="19915197402"/>
    <s v="INF760K01JW4"/>
    <d v="2022-01-11T00:00:00"/>
    <n v="91.91"/>
    <n v="10.88"/>
    <m/>
    <s v="DK HDFC NRO"/>
    <s v="SIP"/>
    <x v="10"/>
    <n v="999.98080000000004"/>
    <s v="DK"/>
  </r>
  <r>
    <n v="79931510915"/>
    <s v="INF769K01BI1"/>
    <d v="2022-01-11T00:00:00"/>
    <n v="17.969000000000001"/>
    <n v="111.3"/>
    <m/>
    <s v="KOTAK M BANK - NRE"/>
    <s v="SIP"/>
    <x v="6"/>
    <n v="1999.9497000000001"/>
    <s v="DK"/>
  </r>
  <r>
    <s v="10510544"/>
    <s v="INF879O01027"/>
    <d v="2022-01-11T00:00:00"/>
    <n v="92.05"/>
    <n v="55.115000000000002"/>
    <m/>
    <s v="KOTAK M BANK - NRE"/>
    <m/>
    <x v="3"/>
    <n v="5073.3357500000002"/>
    <s v="DK"/>
  </r>
  <r>
    <s v="91093138511"/>
    <s v="INF846K01K35"/>
    <d v="2022-01-14T00:00:00"/>
    <n v="141.536"/>
    <n v="70.650000000000006"/>
    <m/>
    <s v="KOTAK M BANK - NRE"/>
    <s v="SIP"/>
    <x v="9"/>
    <n v="9999.5184000000008"/>
    <s v="DK"/>
  </r>
  <r>
    <s v="10510544"/>
    <s v="INF879O01027"/>
    <d v="2022-01-14T00:00:00"/>
    <n v="183.05"/>
    <n v="54.627299999999998"/>
    <m/>
    <s v="KOTAK M BANK - NRE"/>
    <m/>
    <x v="3"/>
    <n v="9999.5272650000006"/>
    <s v="DK"/>
  </r>
  <r>
    <s v="10231846"/>
    <s v="INF879O01027"/>
    <d v="2022-01-14T00:00:00"/>
    <n v="91.525000000000006"/>
    <n v="54.627299999999998"/>
    <m/>
    <s v="RS SBI"/>
    <s v="Long Term"/>
    <x v="3"/>
    <n v="4999.7636325000003"/>
    <s v="RS"/>
  </r>
  <r>
    <s v="10231846"/>
    <s v="INF879O01027"/>
    <d v="2022-01-18T00:00:00"/>
    <n v="91.900999999999996"/>
    <n v="54.403700000000001"/>
    <m/>
    <s v="RS SBI"/>
    <s v="Long Term"/>
    <x v="3"/>
    <n v="4999.7544336999999"/>
    <s v="RS"/>
  </r>
  <r>
    <s v="79936204371"/>
    <s v="INF769K01BI1"/>
    <d v="2022-01-18T00:00:00"/>
    <n v="22.861999999999998"/>
    <n v="109.348"/>
    <m/>
    <s v="RS SBI"/>
    <s v="SIP"/>
    <x v="6"/>
    <n v="2499.9139759999998"/>
    <s v="RS"/>
  </r>
  <r>
    <s v="91093138511"/>
    <s v="INF846K01K35"/>
    <d v="2022-01-19T00:00:00"/>
    <n v="185.04400000000001"/>
    <n v="70.25"/>
    <m/>
    <s v="KOTAK M BANK - NRE"/>
    <s v="SIP"/>
    <x v="9"/>
    <n v="12999.341"/>
    <s v="DK"/>
  </r>
  <r>
    <s v="19915197402"/>
    <s v="INF760K01JW4"/>
    <d v="2022-01-19T00:00:00"/>
    <n v="92.501999999999995"/>
    <n v="10.81"/>
    <m/>
    <s v="DK HDFC NRO"/>
    <s v="SIP"/>
    <x v="10"/>
    <n v="999.94661999999994"/>
    <s v="DK"/>
  </r>
  <r>
    <s v="10510544"/>
    <s v="INF879O01027"/>
    <d v="2022-01-19T00:00:00"/>
    <n v="277.93900000000002"/>
    <n v="53.966000000000001"/>
    <m/>
    <s v="KOTAK M BANK - NRE"/>
    <m/>
    <x v="3"/>
    <n v="14999.256074000001"/>
    <s v="DK"/>
  </r>
  <r>
    <s v="4183002"/>
    <s v="INF277K01PK1"/>
    <d v="2022-01-19T00:00:00"/>
    <n v="19.445"/>
    <n v="154.2723"/>
    <m/>
    <s v="DK HDFC NRO"/>
    <s v="Watching"/>
    <x v="5"/>
    <n v="2999.8248735000002"/>
    <s v="DK"/>
  </r>
  <r>
    <s v="10231846"/>
    <s v="INF879O01027"/>
    <d v="2022-01-19T00:00:00"/>
    <n v="92.646000000000001"/>
    <n v="53.966000000000001"/>
    <m/>
    <s v="RS SBI"/>
    <s v="Long Term"/>
    <x v="3"/>
    <n v="4999.7340359999998"/>
    <s v="RS"/>
  </r>
  <r>
    <s v="91093138511"/>
    <s v="INF846K01K35"/>
    <d v="2022-01-20T00:00:00"/>
    <n v="283.63400000000001"/>
    <n v="70.510000000000005"/>
    <m/>
    <s v="KOTAK M BANK - NRE"/>
    <s v="SIP"/>
    <x v="9"/>
    <n v="19999.033340000002"/>
    <s v="DK"/>
  </r>
  <r>
    <s v="10510544"/>
    <s v="INF879O01027"/>
    <d v="2022-01-20T00:00:00"/>
    <n v="370.93200000000002"/>
    <n v="53.915500000000002"/>
    <m/>
    <s v="KOTAK M BANK - NRE"/>
    <m/>
    <x v="3"/>
    <n v="19998.984246"/>
    <s v="DK"/>
  </r>
  <r>
    <s v="91093138511"/>
    <s v="INF846K01K35"/>
    <d v="2022-01-21T00:00:00"/>
    <n v="431.07499999999999"/>
    <n v="69.59"/>
    <m/>
    <s v="KOTAK M BANK - NRE"/>
    <s v="SIP"/>
    <x v="9"/>
    <n v="29998.509249999999"/>
    <s v="DK"/>
  </r>
  <r>
    <s v="10510544"/>
    <s v="INF879O01027"/>
    <d v="2022-01-21T00:00:00"/>
    <n v="563.38099999999997"/>
    <n v="53.247300000000003"/>
    <m/>
    <s v="KOTAK M BANK - NRE"/>
    <m/>
    <x v="3"/>
    <n v="29998.517121299999"/>
    <s v="DK"/>
  </r>
  <r>
    <s v="91093138511"/>
    <s v="INF846K01K35"/>
    <d v="2022-01-24T00:00:00"/>
    <n v="1249.566"/>
    <n v="67.22"/>
    <m/>
    <s v="KOTAK M BANK - NRE"/>
    <s v="SIP"/>
    <x v="9"/>
    <n v="83995.826520000002"/>
    <s v="DK"/>
  </r>
  <r>
    <n v="79931510915"/>
    <s v="INF769K01BI1"/>
    <d v="2022-01-24T00:00:00"/>
    <n v="28.585000000000001"/>
    <n v="104.944"/>
    <m/>
    <s v="KOTAK M BANK - NRE"/>
    <s v="SIP"/>
    <x v="6"/>
    <n v="2999.8242400000004"/>
    <s v="DK"/>
  </r>
  <r>
    <s v="10510544"/>
    <s v="INF879O01027"/>
    <d v="2022-01-24T00:00:00"/>
    <n v="1545.16"/>
    <n v="51.771999999999998"/>
    <m/>
    <s v="KOTAK M BANK - NRE"/>
    <m/>
    <x v="3"/>
    <n v="79996.023520000002"/>
    <s v="DK"/>
  </r>
  <r>
    <s v="91093138511"/>
    <s v="INF846K01K35"/>
    <d v="2022-01-25T00:00:00"/>
    <n v="1180.579"/>
    <n v="67.760000000000005"/>
    <m/>
    <s v="KOTAK M BANK - NRE"/>
    <s v="SIP"/>
    <x v="9"/>
    <n v="79996.033040000009"/>
    <s v="DK"/>
  </r>
  <r>
    <s v="10510544"/>
    <s v="INF879O01027"/>
    <d v="2022-01-25T00:00:00"/>
    <n v="748.71299999999997"/>
    <n v="52.353900000000003"/>
    <m/>
    <s v="KOTAK M BANK - NRE"/>
    <m/>
    <x v="3"/>
    <n v="39198.045530700001"/>
    <s v="DK"/>
  </r>
  <r>
    <s v="910146098564"/>
    <s v="INF846K01K35"/>
    <d v="2022-02-07T00:00:00"/>
    <n v="72.323999999999998"/>
    <n v="69.13"/>
    <m/>
    <s v="DK HDFC NRO"/>
    <m/>
    <x v="9"/>
    <n v="4999.7581199999995"/>
    <s v="DK"/>
  </r>
  <r>
    <s v="19915197402"/>
    <s v="INF760K01JW4"/>
    <d v="2022-02-07T00:00:00"/>
    <n v="235.61500000000001"/>
    <n v="10.61"/>
    <s v="Top up"/>
    <s v="DK HDFC NRO"/>
    <s v="SIP"/>
    <x v="10"/>
    <n v="2499.8751499999998"/>
    <s v="DK"/>
  </r>
  <r>
    <s v="4183002"/>
    <s v="INF277K01PK1"/>
    <d v="2022-02-07T00:00:00"/>
    <n v="13.510999999999999"/>
    <n v="148.01769999999999"/>
    <m/>
    <s v="DK HDFC NRO"/>
    <s v="Watching"/>
    <x v="5"/>
    <n v="1999.8671446999997"/>
    <s v="DK"/>
  </r>
  <r>
    <s v="910146098564"/>
    <s v="INF846K01K35"/>
    <d v="2022-02-08T00:00:00"/>
    <n v="2126.1030000000001"/>
    <n v="68.22"/>
    <m/>
    <s v="DK HDFC NRO"/>
    <m/>
    <x v="9"/>
    <n v="145042.74666"/>
    <s v="DK"/>
  </r>
  <r>
    <s v="910146098564"/>
    <s v="INF846K01K35"/>
    <d v="2022-02-09T00:00:00"/>
    <n v="1100.5319999999999"/>
    <n v="68.150000000000006"/>
    <m/>
    <s v="DK HDFC NRO"/>
    <m/>
    <x v="9"/>
    <n v="75001.255799999999"/>
    <s v="DK"/>
  </r>
  <r>
    <s v="910146098564"/>
    <s v="INF846K01K35"/>
    <d v="2022-02-10T00:00:00"/>
    <n v="731.81399999999996"/>
    <n v="68.319999999999993"/>
    <m/>
    <s v="DK HDFC NRO"/>
    <m/>
    <x v="9"/>
    <n v="49997.532479999994"/>
    <s v="DK"/>
  </r>
  <r>
    <s v="91093138511"/>
    <s v="INF846K01K35"/>
    <d v="2022-02-11T00:00:00"/>
    <n v="44.502000000000002"/>
    <n v="67.41"/>
    <m/>
    <s v="KOTAK M BANK - NRE"/>
    <s v="SIP"/>
    <x v="9"/>
    <n v="2999.8798200000001"/>
    <s v="DK"/>
  </r>
  <r>
    <s v="19915197402"/>
    <s v="INF760K01JW4"/>
    <d v="2022-02-11T00:00:00"/>
    <n v="97.841999999999999"/>
    <n v="10.220000000000001"/>
    <m/>
    <s v="DK HDFC NRO"/>
    <s v="SIP"/>
    <x v="10"/>
    <n v="999.94524000000001"/>
    <s v="DK"/>
  </r>
  <r>
    <s v="79954053351"/>
    <s v="INF769K01DM9"/>
    <d v="2022-02-11T00:00:00"/>
    <n v="29.518999999999998"/>
    <n v="33.875"/>
    <m/>
    <s v="DK HDFC NRO"/>
    <s v="Tax Saving"/>
    <x v="11"/>
    <n v="999.95612499999993"/>
    <s v="DK"/>
  </r>
  <r>
    <n v="79931510915"/>
    <s v="INF769K01BI1"/>
    <d v="2022-02-11T00:00:00"/>
    <n v="18.981999999999999"/>
    <n v="105.358"/>
    <m/>
    <s v="KOTAK M BANK - NRE"/>
    <s v="SIP"/>
    <x v="6"/>
    <n v="1999.9055559999999"/>
    <s v="DK"/>
  </r>
  <r>
    <s v="10510544"/>
    <s v="INF879O01027"/>
    <d v="2022-02-11T00:00:00"/>
    <n v="94.061000000000007"/>
    <n v="53.1541"/>
    <m/>
    <s v="KOTAK M BANK - NRE"/>
    <m/>
    <x v="3"/>
    <n v="4999.7278001000004"/>
    <s v="DK"/>
  </r>
  <r>
    <s v="79936204371"/>
    <s v="INF769K01BI1"/>
    <d v="2022-02-18T00:00:00"/>
    <n v="24.294"/>
    <n v="102.902"/>
    <m/>
    <s v="RS SBI"/>
    <s v="SIP"/>
    <x v="6"/>
    <n v="2499.9011880000003"/>
    <s v="RS"/>
  </r>
  <r>
    <s v="79954053351"/>
    <s v="INF769K01DM9"/>
    <d v="2022-02-22T00:00:00"/>
    <n v="45.686"/>
    <n v="32.831000000000003"/>
    <m/>
    <s v="DK HDFC NRO"/>
    <s v="Tax Saving"/>
    <x v="11"/>
    <n v="1499.9170660000002"/>
    <s v="DK"/>
  </r>
  <r>
    <n v="79931510915"/>
    <s v="INF769K01BI1"/>
    <d v="2022-02-22T00:00:00"/>
    <n v="30.988"/>
    <n v="96.805999999999997"/>
    <m/>
    <s v="KOTAK M BANK - NRE"/>
    <s v="SIP"/>
    <x v="6"/>
    <n v="2999.8243279999997"/>
    <s v="DK"/>
  </r>
  <r>
    <s v="19915197402"/>
    <s v="INF760K01JW4"/>
    <d v="2022-03-02T00:00:00"/>
    <n v="100.19499999999999"/>
    <n v="9.98"/>
    <m/>
    <s v="DK HDFC NRO"/>
    <s v="SIP"/>
    <x v="10"/>
    <n v="999.9461"/>
    <s v="DK"/>
  </r>
  <r>
    <s v="79954053351"/>
    <s v="INF769K01DM9"/>
    <d v="2022-03-02T00:00:00"/>
    <n v="31.25"/>
    <n v="31.998000000000001"/>
    <m/>
    <s v="DK HDFC NRO"/>
    <s v="Tax Saving"/>
    <x v="11"/>
    <n v="999.9375"/>
    <s v="DK"/>
  </r>
  <r>
    <s v="4183002"/>
    <s v="INF277K01PK1"/>
    <d v="2022-03-02T00:00:00"/>
    <n v="14.034000000000001"/>
    <n v="142.64250000000001"/>
    <m/>
    <s v="DK HDFC NRO"/>
    <s v="Watching"/>
    <x v="5"/>
    <n v="2001.8448450000003"/>
    <s v="DK"/>
  </r>
  <r>
    <s v="10510544"/>
    <s v="INF879O01027"/>
    <d v="2022-03-10T00:00:00"/>
    <n v="100.699"/>
    <n v="49.650199999999998"/>
    <m/>
    <s v="KOTAK M BANK - NRE"/>
    <m/>
    <x v="3"/>
    <n v="4999.7254898000001"/>
    <s v="DK"/>
  </r>
  <r>
    <s v="91093138511"/>
    <s v="INF846K01K35"/>
    <d v="2022-03-11T00:00:00"/>
    <n v="45.89"/>
    <n v="65.37"/>
    <m/>
    <s v="KOTAK M BANK - NRE"/>
    <s v="SIP"/>
    <x v="9"/>
    <n v="2999.8293000000003"/>
    <s v="DK"/>
  </r>
  <r>
    <s v="19915197402"/>
    <s v="INF760K01JW4"/>
    <d v="2022-03-11T00:00:00"/>
    <n v="99.399000000000001"/>
    <n v="10.06"/>
    <m/>
    <s v="DK HDFC NRO"/>
    <s v="SIP"/>
    <x v="10"/>
    <n v="999.9539400000001"/>
    <s v="DK"/>
  </r>
  <r>
    <n v="79931510915"/>
    <s v="INF769K01BI1"/>
    <d v="2022-03-11T00:00:00"/>
    <n v="20.024999999999999"/>
    <n v="99.867999999999995"/>
    <m/>
    <s v="KOTAK M BANK - NRE"/>
    <s v="SIP"/>
    <x v="6"/>
    <n v="1999.8566999999998"/>
    <s v="DK"/>
  </r>
  <r>
    <s v="79936204371"/>
    <s v="INF769K01BI1"/>
    <d v="2022-03-18T00:00:00"/>
    <n v="24.462"/>
    <n v="102.196"/>
    <m/>
    <s v="RS SBI"/>
    <s v="SIP"/>
    <x v="6"/>
    <n v="2499.9185520000001"/>
    <s v="RS"/>
  </r>
  <r>
    <n v="79931510915"/>
    <s v="INF769K01BI1"/>
    <d v="2022-03-22T00:00:00"/>
    <n v="29.245000000000001"/>
    <n v="102.578"/>
    <m/>
    <s v="KOTAK M BANK - NRE"/>
    <s v="SIP"/>
    <x v="6"/>
    <n v="2999.8936100000001"/>
    <s v="DK"/>
  </r>
  <r>
    <s v="910146844882"/>
    <s v="INF846K01K35"/>
    <d v="2022-03-24T00:00:00"/>
    <n v="74.668000000000006"/>
    <n v="66.959999999999994"/>
    <m/>
    <s v="RS SBI"/>
    <m/>
    <x v="9"/>
    <n v="4999.7692799999995"/>
    <s v="RS"/>
  </r>
  <r>
    <s v="10231846"/>
    <s v="INF879O01027"/>
    <d v="2022-03-29T00:00:00"/>
    <n v="95.668000000000006"/>
    <n v="52.261200000000002"/>
    <m/>
    <s v="RS SBI"/>
    <s v="Long Term"/>
    <x v="3"/>
    <n v="4999.7244816000002"/>
    <s v="RS"/>
  </r>
  <r>
    <s v="910146844882"/>
    <s v="INF846K01K35"/>
    <d v="2022-03-29T00:00:00"/>
    <n v="59.186"/>
    <n v="67.58"/>
    <m/>
    <s v="RS SBI"/>
    <m/>
    <x v="9"/>
    <n v="3999.7898799999998"/>
    <s v="RS"/>
  </r>
  <r>
    <s v="91093138511"/>
    <s v="INF846K01K35"/>
    <d v="2022-04-11T00:00:00"/>
    <n v="43.256999999999998"/>
    <n v="69.349999999999994"/>
    <m/>
    <s v="KOTAK M BANK - NRE"/>
    <s v="SIP"/>
    <x v="9"/>
    <n v="2999.8729499999995"/>
    <s v="DK"/>
  </r>
  <r>
    <s v="19915197402"/>
    <s v="INF760K01JW4"/>
    <d v="2022-04-11T00:00:00"/>
    <n v="93.891999999999996"/>
    <n v="10.65"/>
    <m/>
    <s v="DK HDFC NRO"/>
    <s v="SIP"/>
    <x v="10"/>
    <n v="999.94979999999998"/>
    <s v="DK"/>
  </r>
  <r>
    <n v="79931510915"/>
    <s v="INF769K01BI1"/>
    <d v="2022-04-11T00:00:00"/>
    <n v="18.957000000000001"/>
    <n v="105.494"/>
    <m/>
    <s v="KOTAK M BANK - NRE"/>
    <s v="SIP"/>
    <x v="6"/>
    <n v="1999.8497580000001"/>
    <s v="DK"/>
  </r>
  <r>
    <s v="10510544"/>
    <s v="INF879O01027"/>
    <d v="2022-04-12T00:00:00"/>
    <n v="95.105000000000004"/>
    <n v="52.570700000000002"/>
    <m/>
    <s v="KOTAK M BANK - NRE"/>
    <m/>
    <x v="3"/>
    <n v="4999.7364235000005"/>
    <s v="DK"/>
  </r>
  <r>
    <s v="910146844882"/>
    <s v="INF846K01K35"/>
    <d v="2022-04-13T00:00:00"/>
    <n v="36.136000000000003"/>
    <n v="69.180000000000007"/>
    <m/>
    <s v="RS SBI"/>
    <m/>
    <x v="9"/>
    <n v="2499.8884800000005"/>
    <s v="RS"/>
  </r>
  <r>
    <s v="79936204371"/>
    <s v="INF769K01BI1"/>
    <d v="2022-04-18T00:00:00"/>
    <n v="24.071999999999999"/>
    <n v="103.852"/>
    <m/>
    <s v="RS SBI"/>
    <s v="SIP"/>
    <x v="6"/>
    <n v="2499.9253440000002"/>
    <s v="RS"/>
  </r>
  <r>
    <n v="79931510915"/>
    <s v="INF769K01BI1"/>
    <d v="2022-04-22T00:00:00"/>
    <n v="29.356000000000002"/>
    <n v="102.18899999999999"/>
    <m/>
    <s v="KOTAK M BANK - NRE"/>
    <s v="SIP"/>
    <x v="6"/>
    <n v="2999.8602839999999"/>
    <s v="DK"/>
  </r>
  <r>
    <s v="91093138511"/>
    <s v="INF846K01K35"/>
    <d v="2022-05-11T00:00:00"/>
    <n v="48.793999999999997"/>
    <n v="61.48"/>
    <m/>
    <s v="KOTAK M BANK - NRE"/>
    <s v="SIP"/>
    <x v="9"/>
    <n v="2999.8551199999997"/>
    <s v="DK"/>
  </r>
  <r>
    <s v="19915197402"/>
    <s v="INF760K01JW4"/>
    <d v="2022-05-11T00:00:00"/>
    <n v="103.514"/>
    <n v="9.66"/>
    <m/>
    <s v="DK HDFC NRO"/>
    <s v="SIP"/>
    <x v="10"/>
    <n v="999.94524000000001"/>
    <s v="DK"/>
  </r>
  <r>
    <n v="79931510915"/>
    <s v="INF769K01BI1"/>
    <d v="2022-05-11T00:00:00"/>
    <n v="21.276"/>
    <n v="93.997"/>
    <m/>
    <s v="KOTAK M BANK - NRE"/>
    <s v="SIP"/>
    <x v="6"/>
    <n v="1999.8801719999999"/>
    <s v="DK"/>
  </r>
  <r>
    <s v="10510544"/>
    <s v="INF879O01027"/>
    <d v="2022-05-12T00:00:00"/>
    <n v="106.33199999999999"/>
    <n v="47.020099999999999"/>
    <m/>
    <s v="KOTAK M BANK - NRE"/>
    <m/>
    <x v="3"/>
    <n v="4999.7412731999993"/>
    <s v="DK"/>
  </r>
  <r>
    <s v="79936204371"/>
    <s v="INF769K01BI1"/>
    <d v="2022-05-18T00:00:00"/>
    <n v="25.864999999999998"/>
    <n v="96.65"/>
    <m/>
    <s v="RS SBI"/>
    <s v="SIP"/>
    <x v="6"/>
    <n v="2499.8522499999999"/>
    <s v="RS"/>
  </r>
  <r>
    <n v="79931510915"/>
    <s v="INF769K01BI1"/>
    <d v="2022-05-23T00:00:00"/>
    <n v="31.266999999999999"/>
    <n v="95.942999999999998"/>
    <m/>
    <s v="KOTAK M BANK - NRE"/>
    <s v="SIP"/>
    <x v="6"/>
    <n v="2999.8497809999999"/>
    <s v="DK"/>
  </r>
  <r>
    <s v="910146844882"/>
    <s v="INF846K01K35"/>
    <d v="2022-06-08T00:00:00"/>
    <n v="78.674000000000007"/>
    <n v="63.55"/>
    <m/>
    <s v="RS SBI"/>
    <m/>
    <x v="9"/>
    <n v="4999.7327000000005"/>
    <s v="RS"/>
  </r>
  <r>
    <s v="19915197402"/>
    <s v="INF760K01JW4"/>
    <d v="2022-06-11T00:00:00"/>
    <n v="101.312"/>
    <n v="9.8699999999999992"/>
    <m/>
    <s v="DK HDFC NRO"/>
    <s v="SIP"/>
    <x v="10"/>
    <n v="999.94943999999987"/>
    <s v="DK"/>
  </r>
  <r>
    <s v="91093138511"/>
    <s v="INF846K01K35"/>
    <d v="2022-06-13T00:00:00"/>
    <n v="48.439"/>
    <n v="61.93"/>
    <m/>
    <s v="KOTAK M BANK - NRE"/>
    <s v="SIP"/>
    <x v="9"/>
    <n v="2999.8272699999998"/>
    <s v="DK"/>
  </r>
  <r>
    <n v="79931510915"/>
    <s v="INF769K01BI1"/>
    <d v="2022-06-13T00:00:00"/>
    <n v="21.282"/>
    <n v="93.972999999999999"/>
    <m/>
    <s v="KOTAK M BANK - NRE"/>
    <s v="SIP"/>
    <x v="6"/>
    <n v="1999.9333859999999"/>
    <s v="DK"/>
  </r>
  <r>
    <s v="10510544"/>
    <s v="INF879O01027"/>
    <d v="2022-06-13T00:00:00"/>
    <n v="106.336"/>
    <n v="47.018599999999999"/>
    <m/>
    <s v="KOTAK M BANK - NRE"/>
    <m/>
    <x v="3"/>
    <n v="4999.7698496000003"/>
    <s v="DK"/>
  </r>
  <r>
    <s v="79936204371"/>
    <s v="INF769K01BI1"/>
    <d v="2022-06-20T00:00:00"/>
    <n v="26.937999999999999"/>
    <n v="92.8"/>
    <m/>
    <s v="RS SBI"/>
    <s v="SIP"/>
    <x v="6"/>
    <n v="2499.8463999999999"/>
    <s v="RS"/>
  </r>
  <r>
    <n v="79931510915"/>
    <s v="INF769K01BI1"/>
    <d v="2022-06-23T00:00:00"/>
    <n v="31.956"/>
    <n v="93.873000000000005"/>
    <m/>
    <s v="KOTAK M BANK - NRE"/>
    <s v="SIP"/>
    <x v="6"/>
    <n v="2999.8055880000002"/>
    <s v="DK"/>
  </r>
  <r>
    <s v="91093138511"/>
    <s v="INF846K01K35"/>
    <d v="2022-07-11T00:00:00"/>
    <n v="46.923999999999999"/>
    <n v="63.93"/>
    <m/>
    <s v="KOTAK M BANK - NRE"/>
    <s v="SIP"/>
    <x v="9"/>
    <n v="2999.8513199999998"/>
    <s v="DK"/>
  </r>
  <r>
    <s v="19915197402"/>
    <s v="INF760K01JW4"/>
    <d v="2022-07-11T00:00:00"/>
    <n v="98.712000000000003"/>
    <n v="10.130000000000001"/>
    <m/>
    <s v="DK HDFC NRO"/>
    <s v="SIP"/>
    <x v="10"/>
    <n v="999.95256000000006"/>
    <s v="DK"/>
  </r>
  <r>
    <n v="79931510915"/>
    <s v="INF769K01BI1"/>
    <d v="2022-07-11T00:00:00"/>
    <n v="20.535"/>
    <n v="97.39"/>
    <m/>
    <s v="KOTAK M BANK - NRE"/>
    <s v="SIP"/>
    <x v="6"/>
    <n v="1999.90365"/>
    <s v="DK"/>
  </r>
  <r>
    <s v="10510544"/>
    <s v="INF879O01027"/>
    <d v="2022-07-13T00:00:00"/>
    <n v="104.22499999999999"/>
    <n v="47.970799999999997"/>
    <m/>
    <s v="KOTAK M BANK - NRE"/>
    <m/>
    <x v="3"/>
    <n v="4999.7566299999999"/>
    <s v="DK"/>
  </r>
  <r>
    <s v="79936204371"/>
    <s v="INF769K01BI1"/>
    <d v="2022-07-18T00:00:00"/>
    <n v="24.978999999999999"/>
    <n v="100.078"/>
    <m/>
    <s v="RS SBI"/>
    <s v="SIP"/>
    <x v="6"/>
    <n v="2499.8483620000002"/>
    <s v="RS"/>
  </r>
  <r>
    <n v="79931510915"/>
    <s v="INF769K01BI1"/>
    <d v="2022-07-22T00:00:00"/>
    <n v="29.715"/>
    <n v="100.95399999999999"/>
    <m/>
    <s v="KOTAK M BANK - NRE"/>
    <s v="SIP"/>
    <x v="6"/>
    <n v="2999.8481099999999"/>
    <s v="DK"/>
  </r>
  <r>
    <s v="91093138814"/>
    <s v="INF846K01K35"/>
    <d v="2022-08-02T00:00:00"/>
    <n v="67.69"/>
    <n v="73.861999999999995"/>
    <m/>
    <s v="KOTAK M BANK - NRE"/>
    <s v="JAG SIP"/>
    <x v="9"/>
    <n v="4999.7187799999992"/>
    <s v="DK"/>
  </r>
  <r>
    <s v="10231846"/>
    <s v="INF879O01027"/>
    <d v="2022-08-02T00:00:00"/>
    <n v="98.722999999999999"/>
    <n v="50.644199999999998"/>
    <m/>
    <s v="RS SBI"/>
    <s v="Long Term"/>
    <x v="3"/>
    <n v="4999.7473565999999"/>
    <s v="RS"/>
  </r>
  <r>
    <s v="910146844882"/>
    <s v="INF846K01K35"/>
    <d v="2022-08-02T00:00:00"/>
    <n v="96.021000000000001"/>
    <n v="67.69"/>
    <m/>
    <s v="RS SBI"/>
    <m/>
    <x v="9"/>
    <n v="6499.6614899999995"/>
    <s v="RS"/>
  </r>
  <r>
    <s v="91093138965"/>
    <s v="INF846K01K35"/>
    <d v="2022-08-03T00:00:00"/>
    <n v="73.960999999999999"/>
    <n v="67.599999999999994"/>
    <m/>
    <s v="KOTAK M BANK - NRE"/>
    <s v="DIV SIP"/>
    <x v="9"/>
    <n v="4999.7635999999993"/>
    <s v="DK"/>
  </r>
  <r>
    <s v="910146844882"/>
    <s v="INF846K01K35"/>
    <d v="2022-08-03T00:00:00"/>
    <n v="73.960999999999999"/>
    <n v="67.599999999999994"/>
    <m/>
    <s v="RS SBI"/>
    <m/>
    <x v="9"/>
    <n v="4999.7635999999993"/>
    <s v="RS"/>
  </r>
  <r>
    <s v="91093138511"/>
    <s v="INF846K01K35"/>
    <d v="2022-08-04T00:00:00"/>
    <n v="221.09699999999998"/>
    <n v="67.84"/>
    <m/>
    <s v="KOTAK M BANK - NRE"/>
    <s v="SIP"/>
    <x v="9"/>
    <n v="14999.22048"/>
    <s v="DK"/>
  </r>
  <r>
    <s v="910146844882"/>
    <s v="INF846K01K35"/>
    <d v="2022-08-04T00:00:00"/>
    <n v="73.698999999999998"/>
    <n v="67.84"/>
    <m/>
    <s v="RS SBI"/>
    <m/>
    <x v="9"/>
    <n v="4999.7401600000003"/>
    <s v="RS"/>
  </r>
  <r>
    <s v="910146844882"/>
    <s v="INF846K01K35"/>
    <d v="2022-08-08T00:00:00"/>
    <n v="160.97499999999999"/>
    <n v="68.33"/>
    <m/>
    <s v="RS SBI"/>
    <m/>
    <x v="9"/>
    <n v="10999.42175"/>
    <s v="RS"/>
  </r>
  <r>
    <s v="91093138511"/>
    <s v="INF846K01K35"/>
    <d v="2022-08-11T00:00:00"/>
    <n v="43.188000000000002"/>
    <n v="69.459999999999994"/>
    <m/>
    <s v="KOTAK M BANK - NRE"/>
    <s v="SIP"/>
    <x v="9"/>
    <n v="2999.8384799999999"/>
    <s v="DK"/>
  </r>
  <r>
    <s v="19915197402"/>
    <s v="INF760K01JW4"/>
    <d v="2022-08-11T00:00:00"/>
    <n v="89.682000000000002"/>
    <n v="11.15"/>
    <m/>
    <s v="DK HDFC NRO"/>
    <s v="SIP"/>
    <x v="10"/>
    <n v="999.9543000000001"/>
    <s v="DK"/>
  </r>
  <r>
    <n v="79931510915"/>
    <s v="INF769K01BI1"/>
    <d v="2022-08-11T00:00:00"/>
    <n v="18.84"/>
    <n v="106.152"/>
    <m/>
    <s v="KOTAK M BANK - NRE"/>
    <s v="SIP"/>
    <x v="6"/>
    <n v="1999.9036799999999"/>
    <s v="DK"/>
  </r>
  <r>
    <s v="10510544"/>
    <s v="INF879O01027"/>
    <d v="2022-08-12T00:00:00"/>
    <n v="96.4"/>
    <n v="51.864400000000003"/>
    <m/>
    <s v="KOTAK M BANK - NRE"/>
    <m/>
    <x v="3"/>
    <n v="4999.7281600000006"/>
    <s v="DK"/>
  </r>
  <r>
    <s v="910146844882"/>
    <s v="INF846K01K35"/>
    <d v="2022-08-17T00:00:00"/>
    <n v="71.846000000000004"/>
    <n v="69.59"/>
    <m/>
    <s v="RS SBI"/>
    <m/>
    <x v="9"/>
    <n v="4999.7631400000009"/>
    <s v="RS"/>
  </r>
  <r>
    <s v="79936204371"/>
    <s v="INF769K01BI1"/>
    <d v="2022-08-18T00:00:00"/>
    <n v="23.928000000000001"/>
    <n v="104.474"/>
    <m/>
    <s v="RS SBI"/>
    <s v="SIP"/>
    <x v="6"/>
    <n v="2499.8538720000001"/>
    <s v="RS"/>
  </r>
  <r>
    <s v="910146844882"/>
    <s v="INF846K01K35"/>
    <d v="2022-08-18T00:00:00"/>
    <n v="143.44399999999999"/>
    <n v="69.709999999999994"/>
    <m/>
    <s v="RS SBI"/>
    <m/>
    <x v="9"/>
    <n v="9999.4812399999992"/>
    <s v="RS"/>
  </r>
  <r>
    <s v="91093138814"/>
    <s v="INF846K01K35"/>
    <d v="2022-08-19T00:00:00"/>
    <n v="68.95"/>
    <n v="145.02500000000001"/>
    <s v="Top up"/>
    <s v="KOTAK M BANK - NRE"/>
    <s v="JAG SIP"/>
    <x v="9"/>
    <n v="9999.473750000001"/>
    <s v="DK"/>
  </r>
  <r>
    <s v="91093138965"/>
    <s v="INF846K01K35"/>
    <d v="2022-08-19T00:00:00"/>
    <n v="145.02500000000001"/>
    <n v="68.95"/>
    <s v="Top up"/>
    <s v="KOTAK M BANK - NRE"/>
    <s v="DIV SIP"/>
    <x v="9"/>
    <n v="9999.473750000001"/>
    <s v="DK"/>
  </r>
  <r>
    <s v="910146844882"/>
    <s v="INF846K01K35"/>
    <d v="2022-08-19T00:00:00"/>
    <n v="435.07600000000002"/>
    <n v="68.95"/>
    <m/>
    <s v="RS SBI"/>
    <m/>
    <x v="9"/>
    <n v="29998.490200000004"/>
    <s v="RS"/>
  </r>
  <r>
    <s v="91093138814"/>
    <s v="INF846K01K35"/>
    <d v="2022-08-22T00:00:00"/>
    <n v="68.38"/>
    <n v="219.351"/>
    <s v="Top up"/>
    <s v="KOTAK M BANK - NRE"/>
    <s v="JAG SIP"/>
    <x v="9"/>
    <n v="14999.221379999999"/>
    <s v="DK"/>
  </r>
  <r>
    <s v="91093138965"/>
    <s v="INF846K01K35"/>
    <d v="2022-08-22T00:00:00"/>
    <n v="219.351"/>
    <n v="68.38"/>
    <s v="Top up"/>
    <s v="KOTAK M BANK - NRE"/>
    <s v="DIV SIP"/>
    <x v="9"/>
    <n v="14999.221379999999"/>
    <s v="DK"/>
  </r>
  <r>
    <n v="79931510915"/>
    <s v="INF769K01BI1"/>
    <d v="2022-08-22T00:00:00"/>
    <n v="28.463999999999999"/>
    <n v="105.392"/>
    <m/>
    <s v="KOTAK M BANK - NRE"/>
    <s v="SIP"/>
    <x v="6"/>
    <n v="2999.8778879999995"/>
    <s v="DK"/>
  </r>
  <r>
    <s v="91093138814"/>
    <s v="INF846K01K35"/>
    <d v="2022-08-25T00:00:00"/>
    <n v="69.239999999999995"/>
    <n v="72.209000000000003"/>
    <m/>
    <s v="KOTAK M BANK - NRE"/>
    <s v="JAG SIP"/>
    <x v="9"/>
    <n v="4999.7511599999998"/>
    <s v="DK"/>
  </r>
  <r>
    <s v="91093138965"/>
    <s v="INF846K01K35"/>
    <d v="2022-08-25T00:00:00"/>
    <n v="72.209000000000003"/>
    <n v="69.239999999999995"/>
    <m/>
    <s v="KOTAK M BANK - NRE"/>
    <s v="DIV SIP"/>
    <x v="9"/>
    <n v="4999.7511599999998"/>
    <s v="DK"/>
  </r>
  <r>
    <s v="91093138511"/>
    <s v="INF846K01K35"/>
    <d v="2022-08-29T00:00:00"/>
    <n v="72.281000000000006"/>
    <n v="69.239999999999995"/>
    <m/>
    <s v="KOTAK M BANK - NRE"/>
    <s v="SIP"/>
    <x v="9"/>
    <n v="5004.7364399999997"/>
    <s v="DK"/>
  </r>
  <r>
    <s v="91093138814"/>
    <s v="INF846K01K35"/>
    <d v="2022-08-29T00:00:00"/>
    <n v="69.239999999999995"/>
    <n v="72.209000000000003"/>
    <m/>
    <s v="KOTAK M BANK - NRE"/>
    <s v="JAG SIP"/>
    <x v="9"/>
    <n v="4999.7511599999998"/>
    <s v="DK"/>
  </r>
  <r>
    <s v="91093138965"/>
    <s v="INF846K01K35"/>
    <d v="2022-08-29T00:00:00"/>
    <n v="72.209000000000003"/>
    <n v="69.239999999999995"/>
    <m/>
    <s v="KOTAK M BANK - NRE"/>
    <s v="DIV SIP"/>
    <x v="9"/>
    <n v="4999.7511599999998"/>
    <s v="DK"/>
  </r>
  <r>
    <s v="91093138814"/>
    <s v="INF846K01K35"/>
    <d v="2022-09-01T00:00:00"/>
    <n v="70.42"/>
    <n v="71.069999999999993"/>
    <m/>
    <s v="KOTAK M BANK - NRE"/>
    <s v="JAG SIP"/>
    <x v="9"/>
    <n v="5004.7493999999997"/>
    <s v="DK"/>
  </r>
  <r>
    <s v="91093138965"/>
    <s v="INF846K01K35"/>
    <d v="2022-09-01T00:00:00"/>
    <n v="71.069999999999993"/>
    <n v="70.42"/>
    <m/>
    <s v="KOTAK M BANK - NRE"/>
    <s v="DIV SIP"/>
    <x v="9"/>
    <n v="5004.7493999999997"/>
    <s v="DK"/>
  </r>
  <r>
    <s v="19915197402"/>
    <s v="INF760K01JW4"/>
    <d v="2022-09-11T00:00:00"/>
    <n v="85.832999999999998"/>
    <n v="11.65"/>
    <m/>
    <s v="DK HDFC NRO"/>
    <s v="SIP"/>
    <x v="10"/>
    <n v="999.95445000000007"/>
    <s v="DK"/>
  </r>
  <r>
    <s v="91093138511"/>
    <s v="INF846K01K35"/>
    <d v="2022-09-12T00:00:00"/>
    <n v="41.003999999999998"/>
    <n v="73.16"/>
    <m/>
    <s v="KOTAK M BANK - NRE"/>
    <s v="SIP"/>
    <x v="9"/>
    <n v="2999.8526399999996"/>
    <s v="DK"/>
  </r>
  <r>
    <n v="79931510915"/>
    <s v="INF769K01BI1"/>
    <d v="2022-09-12T00:00:00"/>
    <n v="18.504999999999999"/>
    <n v="108.072"/>
    <m/>
    <s v="KOTAK M BANK - NRE"/>
    <s v="SIP"/>
    <x v="6"/>
    <n v="1999.8723599999998"/>
    <s v="DK"/>
  </r>
  <r>
    <s v="10510544"/>
    <s v="INF879O01027"/>
    <d v="2022-09-12T00:00:00"/>
    <n v="94.646000000000001"/>
    <n v="52.825800000000001"/>
    <m/>
    <s v="KOTAK M BANK - NRE"/>
    <m/>
    <x v="3"/>
    <n v="4999.7506668000005"/>
    <s v="DK"/>
  </r>
  <r>
    <s v="910160295815"/>
    <s v="INF846K01K35"/>
    <d v="2022-09-15T00:00:00"/>
    <n v="822.553"/>
    <n v="72.94"/>
    <m/>
    <s v="DK HDFC NRO"/>
    <s v="JAG LIC"/>
    <x v="9"/>
    <n v="59997.015820000001"/>
    <s v="DK"/>
  </r>
  <r>
    <s v="910160295815"/>
    <s v="INF846K01K35"/>
    <d v="2022-09-16T00:00:00"/>
    <n v="2087.4270000000001"/>
    <n v="71.86"/>
    <m/>
    <s v="DK HDFC NRO"/>
    <s v="JAG LIC"/>
    <x v="9"/>
    <n v="150002.50422"/>
    <s v="DK"/>
  </r>
  <r>
    <s v="91093138511"/>
    <s v="INF846K01K35"/>
    <d v="2022-09-16T00:00:00"/>
    <n v="83.575000000000003"/>
    <n v="71.86"/>
    <m/>
    <s v="KOTAK M BANK - NRE"/>
    <s v="SIP"/>
    <x v="9"/>
    <n v="6005.6994999999997"/>
    <s v="DK"/>
  </r>
  <r>
    <s v="91093138814"/>
    <s v="INF846K01K35"/>
    <d v="2022-09-16T00:00:00"/>
    <n v="71.86"/>
    <n v="347.88099999999997"/>
    <s v="Top up"/>
    <s v="KOTAK M BANK - NRE"/>
    <s v="JAG SIP"/>
    <x v="9"/>
    <n v="24998.728659999997"/>
    <s v="DK"/>
  </r>
  <r>
    <s v="91093138965"/>
    <s v="INF846K01K35"/>
    <d v="2022-09-16T00:00:00"/>
    <n v="347.88099999999997"/>
    <n v="71.86"/>
    <s v="Top up"/>
    <s v="KOTAK M BANK - NRE"/>
    <s v="DIV SIP"/>
    <x v="9"/>
    <n v="24998.728659999997"/>
    <s v="DK"/>
  </r>
  <r>
    <s v="79954053351"/>
    <s v="INF769K01DM9"/>
    <d v="2022-09-16T00:00:00"/>
    <n v="44.094000000000001"/>
    <n v="34.017000000000003"/>
    <m/>
    <s v="DK HDFC NRO"/>
    <s v="Tax Saving"/>
    <x v="11"/>
    <n v="1499.9455980000002"/>
    <s v="DK"/>
  </r>
  <r>
    <s v="10231846"/>
    <s v="INF879O01027"/>
    <d v="2022-09-16T00:00:00"/>
    <n v="96.68"/>
    <n v="51.714599999999997"/>
    <m/>
    <s v="RS SBI"/>
    <s v="Long Term"/>
    <x v="3"/>
    <n v="4999.7675280000003"/>
    <s v="RS"/>
  </r>
  <r>
    <s v="910146844882"/>
    <s v="INF846K01K35"/>
    <d v="2022-09-16T00:00:00"/>
    <n v="1043.713"/>
    <n v="71.86"/>
    <m/>
    <s v="RS SBI"/>
    <m/>
    <x v="9"/>
    <n v="75001.216180000003"/>
    <s v="RS"/>
  </r>
  <r>
    <s v="79936204371"/>
    <s v="INF769K01BI1"/>
    <d v="2022-09-18T00:00:00"/>
    <n v="23.550999999999998"/>
    <n v="106.148"/>
    <m/>
    <s v="RS SBI"/>
    <s v="SIP"/>
    <x v="6"/>
    <n v="2499.8915479999996"/>
    <s v="RS"/>
  </r>
  <r>
    <n v="79931510915"/>
    <s v="INF769K01BI1"/>
    <d v="2022-09-22T00:00:00"/>
    <n v="29.486999999999998"/>
    <n v="101.736"/>
    <m/>
    <s v="KOTAK M BANK - NRE"/>
    <s v="SIP"/>
    <x v="6"/>
    <n v="2999.8894319999999"/>
    <s v="DK"/>
  </r>
  <r>
    <s v="91093138814"/>
    <s v="INF846K01K35"/>
    <d v="2022-09-25T00:00:00"/>
    <n v="70.05"/>
    <n v="71.373999999999995"/>
    <m/>
    <s v="KOTAK M BANK - NRE"/>
    <s v="JAG SIP"/>
    <x v="9"/>
    <n v="4999.7486999999992"/>
    <s v="DK"/>
  </r>
  <r>
    <s v="91093138965"/>
    <s v="INF846K01K35"/>
    <d v="2022-09-25T00:00:00"/>
    <n v="71.373999999999995"/>
    <n v="70.05"/>
    <m/>
    <s v="KOTAK M BANK - NRE"/>
    <s v="DIV SIP"/>
    <x v="9"/>
    <n v="4999.7486999999992"/>
    <s v="DK"/>
  </r>
  <r>
    <s v="910160295815"/>
    <s v="INF846K01K35"/>
    <d v="2022-09-26T00:00:00"/>
    <n v="1431.096"/>
    <n v="69.88"/>
    <m/>
    <s v="DK HDFC NRO"/>
    <s v="JAG LIC"/>
    <x v="9"/>
    <n v="100004.98848"/>
    <s v="DK"/>
  </r>
  <r>
    <s v="91093138511"/>
    <s v="INF846K01K35"/>
    <d v="2022-09-26T00:00:00"/>
    <n v="143.238"/>
    <n v="69.88"/>
    <m/>
    <s v="KOTAK M BANK - NRE"/>
    <s v="SIP"/>
    <x v="9"/>
    <n v="10009.471439999999"/>
    <s v="DK"/>
  </r>
  <r>
    <s v="91093138814"/>
    <s v="INF846K01K35"/>
    <d v="2022-09-26T00:00:00"/>
    <n v="69.88"/>
    <n v="143.238"/>
    <s v="Top up"/>
    <s v="KOTAK M BANK - NRE"/>
    <s v="JAG SIP"/>
    <x v="9"/>
    <n v="10009.471439999999"/>
    <s v="DK"/>
  </r>
  <r>
    <s v="19915197402"/>
    <s v="INF760K01JW4"/>
    <d v="2022-09-26T00:00:00"/>
    <n v="136.935"/>
    <n v="10.99"/>
    <s v="Top up"/>
    <s v="DK HDFC NRO"/>
    <s v="SIP"/>
    <x v="10"/>
    <n v="1504.9156500000001"/>
    <s v="DK"/>
  </r>
  <r>
    <s v="79954053351"/>
    <s v="INF769K01DM9"/>
    <d v="2022-09-26T00:00:00"/>
    <n v="76.317999999999998"/>
    <n v="32.756"/>
    <m/>
    <s v="DK HDFC NRO"/>
    <s v="Tax Saving"/>
    <x v="11"/>
    <n v="2499.8724079999997"/>
    <s v="DK"/>
  </r>
  <r>
    <s v="10231846"/>
    <s v="INF879O01027"/>
    <d v="2022-09-26T00:00:00"/>
    <n v="99.8"/>
    <n v="50.147799999999997"/>
    <m/>
    <s v="RS SBI"/>
    <s v="Long Term"/>
    <x v="3"/>
    <n v="5004.7504399999998"/>
    <s v="RS"/>
  </r>
  <r>
    <s v="910146844882"/>
    <s v="INF846K01K35"/>
    <d v="2022-09-26T00:00:00"/>
    <n v="214.643"/>
    <n v="69.88"/>
    <m/>
    <s v="RS SBI"/>
    <m/>
    <x v="9"/>
    <n v="14999.252839999999"/>
    <s v="RS"/>
  </r>
  <r>
    <s v="910160295815"/>
    <s v="INF846K01K35"/>
    <d v="2022-09-28T00:00:00"/>
    <n v="143.03399999999999"/>
    <n v="69.91"/>
    <m/>
    <s v="DK HDFC NRO"/>
    <s v="JAG LIC"/>
    <x v="9"/>
    <n v="9999.5069399999993"/>
    <s v="DK"/>
  </r>
  <r>
    <s v="91093138965"/>
    <s v="INF846K01K35"/>
    <d v="2022-09-28T00:00:00"/>
    <n v="143.17699999999999"/>
    <n v="69.91"/>
    <s v="Top up"/>
    <s v="KOTAK M BANK - NRE"/>
    <s v="DIV SIP"/>
    <x v="9"/>
    <n v="10009.504069999999"/>
    <s v="DK"/>
  </r>
  <r>
    <s v="10231846"/>
    <s v="INF879O01027"/>
    <d v="2022-10-07T00:00:00"/>
    <n v="97.506"/>
    <n v="51.276400000000002"/>
    <m/>
    <s v="RS SBI"/>
    <s v="Long Term"/>
    <x v="3"/>
    <n v="4999.7566584000006"/>
    <s v="RS"/>
  </r>
  <r>
    <n v="19915197402"/>
    <s v="INF760K01EI4"/>
    <d v="2022-10-10T00:00:00"/>
    <n v="2775.634"/>
    <n v="180.13"/>
    <m/>
    <s v="DK HDFC NRO"/>
    <s v="DK Long Term"/>
    <x v="4"/>
    <n v="499974.95241999999"/>
    <s v="DK"/>
  </r>
  <r>
    <s v="10121489"/>
    <s v="INF879O01027"/>
    <d v="2022-10-10T00:00:00"/>
    <n v="9863.2690000000002"/>
    <n v="50.690600000000003"/>
    <m/>
    <s v="DK HDFC NRO"/>
    <s v="Long Term"/>
    <x v="3"/>
    <n v="499975.02357140003"/>
    <s v="DK"/>
  </r>
  <r>
    <s v="10231846"/>
    <s v="INF879O01027"/>
    <d v="2022-10-10T00:00:00"/>
    <n v="3945.31"/>
    <n v="50.690600000000003"/>
    <m/>
    <s v="RS SBI"/>
    <s v="Long Term"/>
    <x v="3"/>
    <n v="199990.13108600001"/>
    <s v="RS"/>
  </r>
  <r>
    <s v="91093138511"/>
    <s v="INF846K01K35"/>
    <d v="2022-10-11T00:00:00"/>
    <n v="42.371000000000002"/>
    <n v="70.8"/>
    <m/>
    <s v="KOTAK M BANK - NRE"/>
    <s v="SIP"/>
    <x v="9"/>
    <n v="2999.8668000000002"/>
    <s v="DK"/>
  </r>
  <r>
    <n v="19915197402"/>
    <s v="INF760K01EI4"/>
    <d v="2022-10-11T00:00:00"/>
    <n v="843.697"/>
    <n v="177.78"/>
    <m/>
    <s v="DK HDFC NRO"/>
    <s v="DK Long Term"/>
    <x v="4"/>
    <n v="149992.45266000001"/>
    <s v="DK"/>
  </r>
  <r>
    <s v="19915197402"/>
    <s v="INF760K01JW4"/>
    <d v="2022-10-11T00:00:00"/>
    <n v="90.085999999999999"/>
    <n v="11.1"/>
    <m/>
    <s v="DK HDFC NRO"/>
    <s v="SIP"/>
    <x v="10"/>
    <n v="999.95459999999991"/>
    <s v="DK"/>
  </r>
  <r>
    <n v="79931510915"/>
    <s v="INF769K01BI1"/>
    <d v="2022-10-11T00:00:00"/>
    <n v="19.475000000000001"/>
    <n v="102.69199999999999"/>
    <m/>
    <s v="KOTAK M BANK - NRE"/>
    <s v="SIP"/>
    <x v="6"/>
    <n v="1999.9267"/>
    <s v="DK"/>
  </r>
  <r>
    <s v="10121489"/>
    <s v="INF879O01027"/>
    <d v="2022-10-11T00:00:00"/>
    <n v="2985.2280000000001"/>
    <n v="50.244900000000001"/>
    <m/>
    <s v="DK HDFC NRO"/>
    <s v="Long Term"/>
    <x v="3"/>
    <n v="149992.4823372"/>
    <s v="DK"/>
  </r>
  <r>
    <s v="10510544"/>
    <s v="INF879O01027"/>
    <d v="2022-10-11T00:00:00"/>
    <n v="99.507999999999996"/>
    <n v="50.244900000000001"/>
    <m/>
    <s v="KOTAK M BANK - NRE"/>
    <m/>
    <x v="3"/>
    <n v="4999.7695091999994"/>
    <s v="DK"/>
  </r>
  <r>
    <s v="10231846"/>
    <s v="INF879O01027"/>
    <d v="2022-10-11T00:00:00"/>
    <n v="5174.3999999999996"/>
    <n v="50.244900000000001"/>
    <m/>
    <s v="RS SBI"/>
    <s v="Long Term"/>
    <x v="3"/>
    <n v="259987.21055999998"/>
    <s v="RS"/>
  </r>
  <r>
    <s v="79936204371"/>
    <s v="INF769K01BI1"/>
    <d v="2022-10-18T00:00:00"/>
    <n v="23.981000000000002"/>
    <n v="104.246"/>
    <m/>
    <s v="RS SBI"/>
    <s v="SIP"/>
    <x v="6"/>
    <n v="2499.9233260000001"/>
    <s v="RS"/>
  </r>
  <r>
    <s v="91093138814"/>
    <s v="INF846K01K35"/>
    <d v="2022-10-25T00:00:00"/>
    <n v="70.98"/>
    <n v="70.438999999999993"/>
    <m/>
    <s v="KOTAK M BANK - NRE"/>
    <s v="JAG SIP"/>
    <x v="9"/>
    <n v="4999.7602200000001"/>
    <s v="DK"/>
  </r>
  <r>
    <s v="91093138965"/>
    <s v="INF846K01K35"/>
    <d v="2022-10-25T00:00:00"/>
    <n v="70.438999999999993"/>
    <n v="70.98"/>
    <m/>
    <s v="KOTAK M BANK - NRE"/>
    <s v="DIV SIP"/>
    <x v="9"/>
    <n v="4999.7602200000001"/>
    <s v="DK"/>
  </r>
  <r>
    <n v="79931510915"/>
    <s v="INF769K01BI1"/>
    <d v="2022-10-25T00:00:00"/>
    <n v="28.587"/>
    <n v="104.937"/>
    <m/>
    <s v="KOTAK M BANK - NRE"/>
    <s v="SIP"/>
    <x v="6"/>
    <n v="2999.8340189999999"/>
    <s v="DK"/>
  </r>
  <r>
    <s v="91093138511"/>
    <s v="INF846K01K35"/>
    <d v="2022-11-11T00:00:00"/>
    <n v="41.973999999999997"/>
    <n v="71.47"/>
    <m/>
    <s v="KOTAK M BANK - NRE"/>
    <s v="SIP"/>
    <x v="9"/>
    <n v="2999.8817799999997"/>
    <s v="DK"/>
  </r>
  <r>
    <s v="19915197402"/>
    <s v="INF760K01JW4"/>
    <d v="2022-11-11T00:00:00"/>
    <n v="84.384"/>
    <n v="11.85"/>
    <m/>
    <s v="DK HDFC NRO"/>
    <s v="SIP"/>
    <x v="10"/>
    <n v="999.95039999999995"/>
    <s v="DK"/>
  </r>
  <r>
    <n v="79931510915"/>
    <s v="INF769K01BI1"/>
    <d v="2022-11-11T00:00:00"/>
    <n v="18.686"/>
    <n v="107.027"/>
    <m/>
    <s v="KOTAK M BANK - NRE"/>
    <s v="SIP"/>
    <x v="6"/>
    <n v="1999.906522"/>
    <s v="DK"/>
  </r>
  <r>
    <s v="10510544"/>
    <s v="INF879O01027"/>
    <d v="2022-11-14T00:00:00"/>
    <n v="95.52"/>
    <n v="52.342300000000002"/>
    <m/>
    <s v="KOTAK M BANK - NRE"/>
    <m/>
    <x v="3"/>
    <n v="4999.7364959999995"/>
    <s v="DK"/>
  </r>
  <r>
    <s v="79936204371"/>
    <s v="INF769K01BI1"/>
    <d v="2022-11-18T00:00:00"/>
    <n v="23.564"/>
    <n v="106.087"/>
    <m/>
    <s v="RS SBI"/>
    <s v="SIP"/>
    <x v="6"/>
    <n v="2499.8340680000001"/>
    <s v="RS"/>
  </r>
  <r>
    <n v="79931510915"/>
    <s v="INF769K01BI1"/>
    <d v="2022-11-22T00:00:00"/>
    <n v="28.224"/>
    <n v="106.288"/>
    <m/>
    <s v="KOTAK M BANK - NRE"/>
    <s v="SIP"/>
    <x v="6"/>
    <n v="2999.8725119999999"/>
    <s v="DK"/>
  </r>
  <r>
    <s v="91093138814"/>
    <s v="INF846K01K35"/>
    <d v="2022-11-25T00:00:00"/>
    <n v="72.13"/>
    <n v="69.316000000000003"/>
    <m/>
    <s v="KOTAK M BANK - NRE"/>
    <s v="JAG SIP"/>
    <x v="9"/>
    <n v="4999.7630799999997"/>
    <s v="DK"/>
  </r>
  <r>
    <s v="91093138965"/>
    <s v="INF846K01K35"/>
    <d v="2022-11-25T00:00:00"/>
    <n v="69.316000000000003"/>
    <n v="72.13"/>
    <m/>
    <s v="KOTAK M BANK - NRE"/>
    <s v="DIV SIP"/>
    <x v="9"/>
    <n v="4999.7630799999997"/>
    <s v="DK"/>
  </r>
  <r>
    <s v="19915197402"/>
    <s v="INF760K01JW4"/>
    <d v="2022-12-11T00:00:00"/>
    <n v="82.64"/>
    <n v="12.1"/>
    <m/>
    <s v="DK HDFC NRO"/>
    <s v="SIP"/>
    <x v="10"/>
    <n v="999.94399999999996"/>
    <s v="DK"/>
  </r>
  <r>
    <s v="91093138511"/>
    <s v="INF846K01K35"/>
    <d v="2022-12-12T00:00:00"/>
    <n v="41.122"/>
    <n v="72.95"/>
    <m/>
    <s v="KOTAK M BANK - NRE"/>
    <s v="SIP"/>
    <x v="9"/>
    <n v="2999.8499000000002"/>
    <s v="DK"/>
  </r>
  <r>
    <n v="79931510915"/>
    <s v="INF769K01BI1"/>
    <d v="2022-12-12T00:00:00"/>
    <n v="18.297999999999998"/>
    <n v="109.298"/>
    <m/>
    <s v="KOTAK M BANK - NRE"/>
    <s v="SIP"/>
    <x v="6"/>
    <n v="1999.9348039999998"/>
    <s v="DK"/>
  </r>
  <r>
    <s v="10510544"/>
    <s v="INF879O01027"/>
    <d v="2022-12-13T00:00:00"/>
    <n v="95.406000000000006"/>
    <n v="52.404800000000002"/>
    <m/>
    <s v="KOTAK M BANK - NRE"/>
    <m/>
    <x v="3"/>
    <n v="4999.7323488000002"/>
    <s v="DK"/>
  </r>
  <r>
    <s v="79936204371"/>
    <s v="INF769K01BI1"/>
    <d v="2022-12-18T00:00:00"/>
    <n v="23.431000000000001"/>
    <n v="106.69"/>
    <m/>
    <s v="RS SBI"/>
    <s v="SIP"/>
    <x v="6"/>
    <n v="2499.8533900000002"/>
    <s v="RS"/>
  </r>
  <r>
    <n v="79931510915"/>
    <s v="INF769K01BI1"/>
    <d v="2022-12-22T00:00:00"/>
    <n v="29.018999999999998"/>
    <n v="103.374"/>
    <m/>
    <s v="KOTAK M BANK - NRE"/>
    <s v="SIP"/>
    <x v="6"/>
    <n v="2999.8101059999999"/>
    <s v="DK"/>
  </r>
  <r>
    <s v="91093138814"/>
    <s v="INF846K01K35"/>
    <d v="2022-12-26T00:00:00"/>
    <n v="71.27"/>
    <n v="70.152000000000001"/>
    <m/>
    <s v="KOTAK M BANK - NRE"/>
    <s v="JAG SIP"/>
    <x v="9"/>
    <n v="4999.7330400000001"/>
    <s v="DK"/>
  </r>
  <r>
    <s v="91093138965"/>
    <s v="INF846K01K35"/>
    <d v="2022-12-26T00:00:00"/>
    <n v="70.152000000000001"/>
    <n v="71.27"/>
    <m/>
    <s v="KOTAK M BANK - NRE"/>
    <s v="DIV SIP"/>
    <x v="9"/>
    <n v="4999.7330400000001"/>
    <s v="DK"/>
  </r>
  <r>
    <s v="910160295815"/>
    <s v="INF846K01K35"/>
    <d v="2023-01-05T00:00:00"/>
    <n v="139.73599999999999"/>
    <n v="71.56"/>
    <m/>
    <s v="DK HDFC NRO"/>
    <s v="JAG LIC"/>
    <x v="9"/>
    <n v="9999.5081599999994"/>
    <s v="DK"/>
  </r>
  <r>
    <n v="19915197402"/>
    <s v="INF760K01EI4"/>
    <d v="2023-01-05T00:00:00"/>
    <n v="138.92099999999999"/>
    <n v="179.95"/>
    <m/>
    <s v="DK HDFC NRO"/>
    <s v="DK Long Term"/>
    <x v="4"/>
    <n v="24998.833949999997"/>
    <s v="DK"/>
  </r>
  <r>
    <s v="19915197402"/>
    <s v="INF760K01JW4"/>
    <d v="2023-01-05T00:00:00"/>
    <n v="170.06"/>
    <n v="11.76"/>
    <s v="Top up"/>
    <s v="DK HDFC NRO"/>
    <s v="SIP"/>
    <x v="10"/>
    <n v="1999.9056"/>
    <s v="DK"/>
  </r>
  <r>
    <s v="10121489"/>
    <s v="INF879O01027"/>
    <d v="2023-01-05T00:00:00"/>
    <n v="490.95100000000002"/>
    <n v="50.918999999999997"/>
    <m/>
    <s v="DK HDFC NRO"/>
    <s v="Long Term"/>
    <x v="3"/>
    <n v="24998.733969000001"/>
    <s v="DK"/>
  </r>
  <r>
    <s v="91093138511"/>
    <s v="INF846K01K35"/>
    <d v="2023-01-11T00:00:00"/>
    <n v="41.932000000000002"/>
    <n v="71.540000000000006"/>
    <m/>
    <s v="KOTAK M BANK - NRE"/>
    <s v="SIP"/>
    <x v="9"/>
    <n v="2999.8152800000003"/>
    <s v="DK"/>
  </r>
  <r>
    <s v="19915197402"/>
    <s v="INF760K01JW4"/>
    <d v="2023-01-11T00:00:00"/>
    <n v="85.98"/>
    <n v="11.63"/>
    <m/>
    <s v="DK HDFC NRO"/>
    <s v="SIP"/>
    <x v="10"/>
    <n v="999.94740000000013"/>
    <s v="DK"/>
  </r>
  <r>
    <n v="79931510915"/>
    <s v="INF769K01BI1"/>
    <d v="2023-01-11T00:00:00"/>
    <n v="18.823"/>
    <n v="106.25"/>
    <m/>
    <s v="KOTAK M BANK - NRE"/>
    <s v="SIP"/>
    <x v="6"/>
    <n v="1999.9437500000001"/>
    <s v="DK"/>
  </r>
  <r>
    <n v="19915197402"/>
    <s v="INF760K01EI4"/>
    <d v="2023-01-16T00:00:00"/>
    <n v="140.26900000000001"/>
    <n v="178.22"/>
    <m/>
    <s v="DK HDFC NRO"/>
    <s v="DK Long Term"/>
    <x v="4"/>
    <n v="24998.741180000001"/>
    <s v="DK"/>
  </r>
  <r>
    <s v="10121489"/>
    <s v="INF879O01027"/>
    <d v="2023-01-16T00:00:00"/>
    <n v="485.11799999999999"/>
    <n v="51.531300000000002"/>
    <m/>
    <s v="DK HDFC NRO"/>
    <s v="Long Term"/>
    <x v="3"/>
    <n v="24998.761193400002"/>
    <s v="DK"/>
  </r>
  <r>
    <s v="79936204371"/>
    <s v="INF769K01BI1"/>
    <d v="2023-01-18T00:00:00"/>
    <n v="23.638999999999999"/>
    <n v="105.754"/>
    <m/>
    <s v="RS SBI"/>
    <s v="SIP"/>
    <x v="6"/>
    <n v="2499.9188060000001"/>
    <s v="RS"/>
  </r>
  <r>
    <s v="91093138814"/>
    <s v="INF846K01K35"/>
    <d v="2023-01-21T00:00:00"/>
    <n v="71.13"/>
    <n v="140.58099999999999"/>
    <s v="Top up"/>
    <s v="KOTAK M BANK - NRE"/>
    <s v="JAG SIP"/>
    <x v="9"/>
    <n v="9999.5265299999992"/>
    <s v="DK"/>
  </r>
  <r>
    <s v="91093138965"/>
    <s v="INF846K01K35"/>
    <d v="2023-01-21T00:00:00"/>
    <n v="140.58099999999999"/>
    <n v="71.13"/>
    <s v="Top up"/>
    <s v="KOTAK M BANK - NRE"/>
    <s v="DIV SIP"/>
    <x v="9"/>
    <n v="9999.5265299999992"/>
    <s v="DK"/>
  </r>
  <r>
    <n v="79931510915"/>
    <s v="INF769K01BI1"/>
    <d v="2023-01-23T00:00:00"/>
    <n v="28.716999999999999"/>
    <n v="104.462"/>
    <m/>
    <s v="KOTAK M BANK - NRE"/>
    <s v="SIP"/>
    <x v="6"/>
    <n v="2999.8352540000001"/>
    <s v="DK"/>
  </r>
  <r>
    <s v="91093138814"/>
    <s v="INF846K01K35"/>
    <d v="2023-01-25T00:00:00"/>
    <n v="70.14"/>
    <n v="71.281999999999996"/>
    <m/>
    <s v="KOTAK M BANK - NRE"/>
    <s v="JAG SIP"/>
    <x v="9"/>
    <n v="4999.7194799999997"/>
    <s v="DK"/>
  </r>
  <r>
    <s v="91093138965"/>
    <s v="INF846K01K35"/>
    <d v="2023-01-25T00:00:00"/>
    <n v="71.281999999999996"/>
    <n v="70.14"/>
    <m/>
    <s v="KOTAK M BANK - NRE"/>
    <s v="DIV SIP"/>
    <x v="9"/>
    <n v="4999.7194799999997"/>
    <s v="DK"/>
  </r>
  <r>
    <s v="19915197402"/>
    <s v="INF760K01JW4"/>
    <d v="2023-02-11T00:00:00"/>
    <n v="85.32"/>
    <n v="11.72"/>
    <m/>
    <s v="DK HDFC NRO"/>
    <s v="SIP"/>
    <x v="10"/>
    <n v="999.95039999999995"/>
    <s v="DK"/>
  </r>
  <r>
    <s v="91093138511"/>
    <s v="INF846K01K35"/>
    <d v="2023-02-13T00:00:00"/>
    <n v="42.222000000000001"/>
    <n v="71.05"/>
    <m/>
    <s v="KOTAK M BANK - NRE"/>
    <s v="SIP"/>
    <x v="9"/>
    <n v="2999.8730999999998"/>
    <s v="DK"/>
  </r>
  <r>
    <n v="79931510915"/>
    <s v="INF769K01BI1"/>
    <d v="2023-02-13T00:00:00"/>
    <n v="19.123000000000001"/>
    <n v="104.581"/>
    <m/>
    <s v="KOTAK M BANK - NRE"/>
    <s v="SIP"/>
    <x v="6"/>
    <n v="1999.9024630000001"/>
    <s v="DK"/>
  </r>
  <r>
    <s v="79936204371"/>
    <s v="INF769K01BI1"/>
    <d v="2023-02-20T00:00:00"/>
    <n v="23.954000000000001"/>
    <n v="104.36"/>
    <m/>
    <s v="RS SBI"/>
    <s v="SIP"/>
    <x v="6"/>
    <n v="2499.8394400000002"/>
    <s v="RS"/>
  </r>
  <r>
    <n v="79931510915"/>
    <s v="INF769K01BI1"/>
    <d v="2023-02-22T00:00:00"/>
    <n v="29.099"/>
    <n v="103.092"/>
    <m/>
    <s v="KOTAK M BANK - NRE"/>
    <s v="SIP"/>
    <x v="6"/>
    <n v="2999.874108"/>
    <s v="DK"/>
  </r>
  <r>
    <n v="19915197402"/>
    <s v="INF760K01EI4"/>
    <d v="2023-02-24T00:00:00"/>
    <n v="57.12"/>
    <n v="175.06"/>
    <m/>
    <s v="DK HDFC NRO"/>
    <s v="DK Long Term"/>
    <x v="4"/>
    <n v="9999.4272000000001"/>
    <s v="DK"/>
  </r>
  <r>
    <s v="10121489"/>
    <s v="INF879O01027"/>
    <d v="2023-02-24T00:00:00"/>
    <n v="191.83600000000001"/>
    <n v="52.1252"/>
    <m/>
    <s v="DK HDFC NRO"/>
    <s v="Long Term"/>
    <x v="3"/>
    <n v="9999.4898671999999"/>
    <s v="DK"/>
  </r>
  <r>
    <s v="91093138814"/>
    <s v="INF846K01K35"/>
    <d v="2023-02-27T00:00:00"/>
    <n v="69.88"/>
    <n v="71.548000000000002"/>
    <m/>
    <s v="KOTAK M BANK - NRE"/>
    <s v="JAG SIP"/>
    <x v="9"/>
    <n v="4999.7742399999997"/>
    <s v="DK"/>
  </r>
  <r>
    <s v="91093138965"/>
    <s v="INF846K01K35"/>
    <d v="2023-02-27T00:00:00"/>
    <n v="71.548000000000002"/>
    <n v="69.88"/>
    <m/>
    <s v="KOTAK M BANK - NRE"/>
    <s v="DIV SIP"/>
    <x v="9"/>
    <n v="4999.7742399999997"/>
    <s v="DK"/>
  </r>
  <r>
    <n v="19915197402"/>
    <s v="INF760K01EI4"/>
    <d v="2023-03-02T00:00:00"/>
    <n v="28.675000000000001"/>
    <n v="174.36"/>
    <m/>
    <s v="DK HDFC NRO"/>
    <s v="DK Long Term"/>
    <x v="4"/>
    <n v="4999.7730000000001"/>
    <s v="DK"/>
  </r>
  <r>
    <s v="19915197402"/>
    <s v="INF760K01JC6"/>
    <d v="2023-03-02T00:00:00"/>
    <n v="196.49600000000001"/>
    <n v="25.47"/>
    <m/>
    <s v="DK HDFC NRO"/>
    <s v="Sonarpure Flat sell"/>
    <x v="12"/>
    <n v="5004.7531200000003"/>
    <s v="DK"/>
  </r>
  <r>
    <s v="10121489"/>
    <s v="INF879O01027"/>
    <d v="2023-03-02T00:00:00"/>
    <n v="95.8"/>
    <n v="52.188699999999997"/>
    <m/>
    <s v="DK HDFC NRO"/>
    <s v="Long Term"/>
    <x v="3"/>
    <n v="4999.6774599999999"/>
    <s v="DK"/>
  </r>
  <r>
    <s v="19915197402"/>
    <s v="INF760K01JW4"/>
    <d v="2023-03-11T00:00:00"/>
    <n v="88.024000000000001"/>
    <n v="11.36"/>
    <m/>
    <s v="DK HDFC NRO"/>
    <s v="SIP"/>
    <x v="10"/>
    <n v="999.95263999999997"/>
    <s v="DK"/>
  </r>
  <r>
    <s v="91093138511"/>
    <s v="INF846K01K35"/>
    <d v="2023-03-13T00:00:00"/>
    <n v="43.088999999999999"/>
    <n v="69.62"/>
    <m/>
    <s v="KOTAK M BANK - NRE"/>
    <s v="SIP"/>
    <x v="9"/>
    <n v="2999.8561800000002"/>
    <s v="DK"/>
  </r>
  <r>
    <s v="91093138814"/>
    <s v="INF846K01K35"/>
    <d v="2023-03-13T00:00:00"/>
    <n v="69.09"/>
    <n v="217.09800000000001"/>
    <s v="Top up"/>
    <s v="KOTAK M BANK - NRE"/>
    <s v="JAG SIP"/>
    <x v="9"/>
    <n v="14999.300820000002"/>
    <s v="DK"/>
  </r>
  <r>
    <s v="19915197402"/>
    <s v="INF760K01JC6"/>
    <d v="2023-03-13T00:00:00"/>
    <n v="596.15499999999997"/>
    <n v="25.16"/>
    <m/>
    <s v="DK HDFC NRO"/>
    <s v="Sonarpure Flat sell"/>
    <x v="12"/>
    <n v="14999.2598"/>
    <s v="DK"/>
  </r>
  <r>
    <n v="79931510915"/>
    <s v="INF769K01BI1"/>
    <d v="2023-03-13T00:00:00"/>
    <n v="19.850999999999999"/>
    <n v="100.744"/>
    <m/>
    <s v="KOTAK M BANK - NRE"/>
    <s v="SIP"/>
    <x v="6"/>
    <n v="1999.869144"/>
    <s v="DK"/>
  </r>
  <r>
    <s v="91093138965"/>
    <s v="INF846K01K35"/>
    <d v="2023-03-14T00:00:00"/>
    <n v="217.34899999999999"/>
    <n v="69.010000000000005"/>
    <s v="Top up"/>
    <s v="KOTAK M BANK - NRE"/>
    <s v="DIV SIP"/>
    <x v="9"/>
    <n v="14999.254490000001"/>
    <s v="DK"/>
  </r>
  <r>
    <s v="910160295815"/>
    <s v="INF846K01K35"/>
    <d v="2023-03-15T00:00:00"/>
    <n v="289.79899999999998"/>
    <n v="69.010000000000005"/>
    <m/>
    <s v="DK HDFC NRO"/>
    <s v="JAG LIC"/>
    <x v="9"/>
    <n v="19999.028989999999"/>
    <s v="DK"/>
  </r>
  <r>
    <s v="19915197402"/>
    <s v="INF760K01JC6"/>
    <d v="2023-03-15T00:00:00"/>
    <n v="1198.0229999999999"/>
    <n v="25.04"/>
    <m/>
    <s v="DK HDFC NRO"/>
    <s v="Sonarpure Flat sell"/>
    <x v="12"/>
    <n v="29998.495919999998"/>
    <s v="DK"/>
  </r>
  <r>
    <s v="19915197402"/>
    <s v="INF760K01JW4"/>
    <d v="2023-03-15T00:00:00"/>
    <n v="353.02699999999999"/>
    <n v="11.33"/>
    <s v="Top up"/>
    <s v="DK HDFC NRO"/>
    <s v="SIP"/>
    <x v="10"/>
    <n v="3999.7959099999998"/>
    <s v="DK"/>
  </r>
  <r>
    <s v="79936204371"/>
    <s v="INF769K01BI1"/>
    <d v="2023-03-20T00:00:00"/>
    <n v="24.765000000000001"/>
    <n v="100.943"/>
    <m/>
    <s v="RS SBI"/>
    <s v="SIP"/>
    <x v="6"/>
    <n v="2499.8533950000001"/>
    <s v="RS"/>
  </r>
  <r>
    <n v="79931510915"/>
    <s v="INF769K01BI1"/>
    <d v="2023-03-22T00:00:00"/>
    <n v="29.992000000000001"/>
    <n v="100.023"/>
    <m/>
    <s v="KOTAK M BANK - NRE"/>
    <s v="SIP"/>
    <x v="6"/>
    <n v="2999.8898159999999"/>
    <s v="DK"/>
  </r>
  <r>
    <s v="91093138814"/>
    <s v="INF846K01K35"/>
    <d v="2023-03-27T00:00:00"/>
    <n v="67.56"/>
    <n v="74.004999999999995"/>
    <s v="Top up"/>
    <s v="KOTAK M BANK - NRE"/>
    <s v="JAG SIP"/>
    <x v="9"/>
    <n v="4999.7777999999998"/>
    <s v="DK"/>
  </r>
  <r>
    <s v="91093138965"/>
    <s v="INF846K01K35"/>
    <d v="2023-03-27T00:00:00"/>
    <n v="74.004999999999995"/>
    <n v="67.56"/>
    <m/>
    <s v="KOTAK M BANK - NRE"/>
    <s v="DIV SIP"/>
    <x v="9"/>
    <n v="4999.7777999999998"/>
    <s v="DK"/>
  </r>
  <r>
    <s v="91093138511"/>
    <s v="INF846K01K35"/>
    <d v="2023-04-11T00:00:00"/>
    <n v="42.085000000000001"/>
    <n v="71.28"/>
    <m/>
    <s v="KOTAK M BANK - NRE"/>
    <s v="SIP"/>
    <x v="9"/>
    <n v="2999.8188"/>
    <s v="DK"/>
  </r>
  <r>
    <s v="19915197402"/>
    <s v="INF760K01JW4"/>
    <d v="2023-04-11T00:00:00"/>
    <n v="84.313000000000002"/>
    <n v="11.86"/>
    <m/>
    <s v="DK HDFC NRO"/>
    <s v="SIP"/>
    <x v="10"/>
    <n v="999.95218"/>
    <s v="DK"/>
  </r>
  <r>
    <n v="79931510915"/>
    <s v="INF769K01BI1"/>
    <d v="2023-04-14T00:00:00"/>
    <n v="19.175000000000001"/>
    <n v="104.29600000000001"/>
    <m/>
    <s v="KOTAK M BANK - NRE"/>
    <s v="SIP"/>
    <x v="6"/>
    <n v="1999.8758000000003"/>
    <s v="DK"/>
  </r>
  <r>
    <s v="79936204371"/>
    <s v="INF769K01BI1"/>
    <d v="2023-04-18T00:00:00"/>
    <n v="24.001999999999999"/>
    <n v="104.155"/>
    <m/>
    <s v="RS SBI"/>
    <s v="SIP"/>
    <x v="6"/>
    <n v="2499.9283099999998"/>
    <s v="RS"/>
  </r>
  <r>
    <n v="79931510915"/>
    <s v="INF769K01BI1"/>
    <d v="2023-04-24T00:00:00"/>
    <n v="28.593"/>
    <n v="104.917"/>
    <m/>
    <s v="KOTAK M BANK - NRE"/>
    <s v="SIP"/>
    <x v="6"/>
    <n v="2999.8917810000003"/>
    <s v="DK"/>
  </r>
  <r>
    <s v="91093138814"/>
    <s v="INF846K01K35"/>
    <d v="2023-04-25T00:00:00"/>
    <n v="71.97"/>
    <n v="69.47"/>
    <m/>
    <s v="KOTAK M BANK - NRE"/>
    <s v="JAG SIP"/>
    <x v="9"/>
    <n v="4999.7559000000001"/>
    <s v="DK"/>
  </r>
  <r>
    <s v="91093138965"/>
    <s v="INF846K01K35"/>
    <d v="2023-04-25T00:00:00"/>
    <n v="69.47"/>
    <n v="71.97"/>
    <m/>
    <s v="KOTAK M BANK - NRE"/>
    <s v="DIV SIP"/>
    <x v="9"/>
    <n v="4999.7559000000001"/>
    <s v="DK"/>
  </r>
  <r>
    <s v="19915197402"/>
    <s v="INF760K01JC6"/>
    <d v="2023-05-05T00:00:00"/>
    <n v="378.12900000000002"/>
    <n v="26.45"/>
    <m/>
    <s v="DK HDFC NRO"/>
    <s v="Sonarpure Flat sell"/>
    <x v="12"/>
    <n v="10001.512049999999"/>
    <s v="DK"/>
  </r>
  <r>
    <s v="91093138511"/>
    <s v="INF846K01K35"/>
    <d v="2023-05-11T00:00:00"/>
    <n v="40.326000000000001"/>
    <n v="74.39"/>
    <m/>
    <s v="KOTAK M BANK - NRE"/>
    <s v="SIP"/>
    <x v="9"/>
    <n v="2999.8511400000002"/>
    <s v="DK"/>
  </r>
  <r>
    <s v="19915197402"/>
    <s v="INF760K01JW4"/>
    <d v="2023-05-11T00:00:00"/>
    <n v="81.828999999999994"/>
    <n v="12.22"/>
    <m/>
    <s v="DK HDFC NRO"/>
    <s v="SIP"/>
    <x v="10"/>
    <n v="999.95038"/>
    <s v="DK"/>
  </r>
  <r>
    <n v="79931510915"/>
    <s v="INF769K01BI1"/>
    <d v="2023-05-11T00:00:00"/>
    <n v="18.559999999999999"/>
    <n v="107.755"/>
    <m/>
    <s v="KOTAK M BANK - NRE"/>
    <s v="SIP"/>
    <x v="6"/>
    <n v="1999.9327999999998"/>
    <s v="DK"/>
  </r>
  <r>
    <s v="19915197402"/>
    <s v="INF760K01JC6"/>
    <d v="2023-05-12T00:00:00"/>
    <n v="559.25599999999997"/>
    <n v="26.82"/>
    <m/>
    <s v="DK HDFC NRO"/>
    <s v="Sonarpure Flat sell"/>
    <x v="12"/>
    <n v="14999.245919999999"/>
    <s v="DK"/>
  </r>
  <r>
    <s v="19915197402"/>
    <s v="INF760K01JW4"/>
    <d v="2023-05-12T00:00:00"/>
    <n v="163.65799999999999"/>
    <n v="12.22"/>
    <s v="Top up"/>
    <s v="DK HDFC NRO"/>
    <s v="SIP"/>
    <x v="10"/>
    <n v="1999.90076"/>
    <s v="DK"/>
  </r>
  <r>
    <s v="79936204371"/>
    <s v="INF769K01BI1"/>
    <d v="2023-05-18T00:00:00"/>
    <n v="23.274999999999999"/>
    <n v="107.40600000000001"/>
    <m/>
    <s v="RS SBI"/>
    <s v="SIP"/>
    <x v="6"/>
    <n v="2499.8746500000002"/>
    <s v="RS"/>
  </r>
  <r>
    <n v="79931510915"/>
    <s v="INF769K01BI1"/>
    <d v="2023-05-22T00:00:00"/>
    <n v="27.869"/>
    <n v="107.642"/>
    <m/>
    <s v="KOTAK M BANK - NRE"/>
    <s v="SIP"/>
    <x v="6"/>
    <n v="2999.874898"/>
    <s v="DK"/>
  </r>
  <r>
    <s v="18917658"/>
    <s v="INF200K01T51"/>
    <d v="2023-05-22T00:00:00"/>
    <n v="22.877544110110552"/>
    <n v="131.12639999999999"/>
    <m/>
    <s v="RS SBI"/>
    <s v="SIP"/>
    <x v="7"/>
    <n v="2999.85"/>
    <s v="RS"/>
  </r>
  <r>
    <s v="19915197402"/>
    <s v="INF760K01JC6"/>
    <d v="2023-05-24T00:00:00"/>
    <n v="921.44299999999998"/>
    <n v="27.13"/>
    <m/>
    <s v="DK HDFC NRO"/>
    <s v="Sonarpure Flat sell"/>
    <x v="12"/>
    <n v="24998.748589999999"/>
    <s v="DK"/>
  </r>
  <r>
    <s v="91093138814"/>
    <s v="INF846K01K35"/>
    <d v="2023-05-25T00:00:00"/>
    <n v="76.66"/>
    <n v="65.22"/>
    <m/>
    <s v="KOTAK M BANK - NRE"/>
    <s v="JAG SIP"/>
    <x v="9"/>
    <n v="4999.7651999999998"/>
    <s v="DK"/>
  </r>
  <r>
    <s v="91093138965"/>
    <s v="INF846K01K35"/>
    <d v="2023-05-25T00:00:00"/>
    <n v="65.22"/>
    <n v="76.66"/>
    <m/>
    <s v="KOTAK M BANK - NRE"/>
    <s v="DIV SIP"/>
    <x v="9"/>
    <n v="4999.7651999999998"/>
    <s v="DK"/>
  </r>
  <r>
    <s v="910160295815"/>
    <s v="INF846K01K35"/>
    <d v="2023-06-08T00:00:00"/>
    <n v="632.54300000000001"/>
    <n v="79.05"/>
    <m/>
    <s v="DK HDFC NRO"/>
    <s v="JAG LIC"/>
    <x v="9"/>
    <n v="50002.524149999997"/>
    <s v="DK"/>
  </r>
  <r>
    <s v="19915197402"/>
    <s v="INF760K01JW4"/>
    <d v="2023-06-08T00:00:00"/>
    <n v="158.00299999999999"/>
    <n v="12.67"/>
    <s v="Top up"/>
    <s v="DK HDFC NRO"/>
    <s v="SIP"/>
    <x v="10"/>
    <n v="2001.8980099999999"/>
    <s v="DK"/>
  </r>
  <r>
    <s v="10510544"/>
    <s v="INF879O01027"/>
    <d v="2023-06-08T00:00:00"/>
    <n v="4303.08"/>
    <n v="58.097299999999997"/>
    <m/>
    <s v="KOTAK M BANK - NRE"/>
    <m/>
    <x v="3"/>
    <n v="249997.329684"/>
    <s v="DK"/>
  </r>
  <r>
    <s v="910160295815"/>
    <s v="INF846K01K35"/>
    <d v="2023-06-12T00:00:00"/>
    <n v="631.21400000000006"/>
    <n v="79.209999999999994"/>
    <m/>
    <s v="DK HDFC NRO"/>
    <s v="JAG LIC"/>
    <x v="9"/>
    <n v="49998.460939999997"/>
    <s v="DK"/>
  </r>
  <r>
    <s v="91093138511"/>
    <s v="INF846K01K35"/>
    <d v="2023-06-12T00:00:00"/>
    <n v="37.447000000000003"/>
    <n v="80.11"/>
    <m/>
    <s v="KOTAK M BANK - NRE"/>
    <s v="SIP"/>
    <x v="9"/>
    <n v="2999.8791700000002"/>
    <s v="DK"/>
  </r>
  <r>
    <s v="19915197402"/>
    <s v="INF760K01JW4"/>
    <d v="2023-06-12T00:00:00"/>
    <n v="78.366"/>
    <n v="12.76"/>
    <m/>
    <s v="DK HDFC NRO"/>
    <s v="SIP"/>
    <x v="10"/>
    <n v="999.95015999999998"/>
    <s v="DK"/>
  </r>
  <r>
    <n v="79931510915"/>
    <s v="INF769K01BI1"/>
    <d v="2023-06-12T00:00:00"/>
    <n v="17.850000000000001"/>
    <n v="112.03700000000001"/>
    <m/>
    <s v="KOTAK M BANK - NRE"/>
    <s v="SIP"/>
    <x v="6"/>
    <n v="1999.8604500000004"/>
    <s v="DK"/>
  </r>
  <r>
    <s v="10510544"/>
    <s v="INF879O01027"/>
    <d v="2023-06-15T00:00:00"/>
    <n v="4350.3500000000004"/>
    <n v="58.613100000000003"/>
    <m/>
    <s v="KOTAK M BANK - NRE"/>
    <m/>
    <x v="3"/>
    <n v="254987.49958500004"/>
    <s v="DK"/>
  </r>
  <r>
    <s v="910146844882"/>
    <s v="INF846K01K35"/>
    <d v="2023-06-15T00:00:00"/>
    <n v="311.35599999999999"/>
    <n v="80.290000000000006"/>
    <m/>
    <s v="RS SBI"/>
    <m/>
    <x v="9"/>
    <n v="24998.773240000002"/>
    <s v="RS"/>
  </r>
  <r>
    <s v="79936204371"/>
    <s v="INF769K01BI1"/>
    <d v="2023-06-19T00:00:00"/>
    <n v="21.997"/>
    <n v="113.64700000000001"/>
    <m/>
    <s v="RS SBI"/>
    <s v="SIP"/>
    <x v="6"/>
    <n v="2499.893059"/>
    <s v="RS"/>
  </r>
  <r>
    <s v="18917658"/>
    <s v="INF200K01T51"/>
    <d v="2023-06-21T00:00:00"/>
    <n v="21.760999999999999"/>
    <n v="137.8518"/>
    <m/>
    <s v="RS SBI"/>
    <s v="SIP"/>
    <x v="7"/>
    <n v="2999.7930197999999"/>
    <s v="RS"/>
  </r>
  <r>
    <n v="79931510915"/>
    <s v="INF769K01BI1"/>
    <d v="2023-06-22T00:00:00"/>
    <n v="26.552"/>
    <n v="112.979"/>
    <m/>
    <s v="KOTAK M BANK - NRE"/>
    <s v="SIP"/>
    <x v="6"/>
    <n v="2999.8184080000001"/>
    <s v="DK"/>
  </r>
  <r>
    <s v="91093138814"/>
    <s v="INF846K01K35"/>
    <d v="2023-06-26T00:00:00"/>
    <n v="81.12"/>
    <n v="61.634"/>
    <m/>
    <s v="KOTAK M BANK - NRE"/>
    <s v="JAG SIP"/>
    <x v="9"/>
    <n v="4999.7500800000007"/>
    <s v="DK"/>
  </r>
  <r>
    <s v="91093138965"/>
    <s v="INF846K01K35"/>
    <d v="2023-06-26T00:00:00"/>
    <n v="61.634"/>
    <n v="81.12"/>
    <m/>
    <s v="KOTAK M BANK - NRE"/>
    <s v="DIV SIP"/>
    <x v="9"/>
    <n v="4999.7500800000007"/>
    <s v="DK"/>
  </r>
  <r>
    <n v="19915197402"/>
    <s v="INF760K01EI4"/>
    <d v="2023-07-07T00:00:00"/>
    <n v="76.397999999999996"/>
    <n v="196.33"/>
    <m/>
    <s v="DK HDFC NRO"/>
    <s v="DK Long Term"/>
    <x v="4"/>
    <n v="14999.21934"/>
    <s v="DK"/>
  </r>
  <r>
    <s v="19915197402"/>
    <s v="INF760K01JC6"/>
    <d v="2023-07-07T00:00:00"/>
    <n v="339.19600000000003"/>
    <n v="29.48"/>
    <m/>
    <s v="DK HDFC NRO"/>
    <s v="Sonarpure Flat sell"/>
    <x v="12"/>
    <n v="9999.4980800000012"/>
    <s v="DK"/>
  </r>
  <r>
    <s v="91093138511"/>
    <s v="INF846K01K35"/>
    <d v="2023-07-11T00:00:00"/>
    <n v="36.326999999999998"/>
    <n v="82.58"/>
    <m/>
    <s v="KOTAK M BANK - NRE"/>
    <s v="SIP"/>
    <x v="9"/>
    <n v="2999.88366"/>
    <s v="DK"/>
  </r>
  <r>
    <s v="19915197402"/>
    <s v="INF760K01JW4"/>
    <d v="2023-07-11T00:00:00"/>
    <n v="75.015000000000001"/>
    <n v="13.33"/>
    <m/>
    <s v="DK HDFC NRO"/>
    <s v="SIP"/>
    <x v="10"/>
    <n v="999.94995000000006"/>
    <s v="DK"/>
  </r>
  <r>
    <n v="79931510915"/>
    <s v="INF769K01BI1"/>
    <d v="2023-07-11T00:00:00"/>
    <n v="17.172999999999998"/>
    <n v="116.459"/>
    <m/>
    <s v="KOTAK M BANK - NRE"/>
    <s v="SIP"/>
    <x v="6"/>
    <n v="1999.9504069999998"/>
    <s v="DK"/>
  </r>
  <r>
    <s v="79936204371"/>
    <s v="INF769K01BI1"/>
    <d v="2023-07-18T00:00:00"/>
    <n v="20.963999999999999"/>
    <n v="119.244"/>
    <m/>
    <s v="RS SBI"/>
    <s v="SIP"/>
    <x v="6"/>
    <n v="2499.831216"/>
    <s v="RS"/>
  </r>
  <r>
    <s v="18917658"/>
    <s v="INF200K01T51"/>
    <d v="2023-07-20T00:00:00"/>
    <n v="20.969000000000001"/>
    <n v="143.0615"/>
    <m/>
    <s v="RS SBI"/>
    <s v="SIP"/>
    <x v="7"/>
    <n v="2999.8565935000001"/>
    <s v="RS"/>
  </r>
  <r>
    <n v="79931510915"/>
    <s v="INF769K01BI1"/>
    <d v="2023-07-24T00:00:00"/>
    <n v="25.23"/>
    <n v="118.899"/>
    <m/>
    <s v="KOTAK M BANK - NRE"/>
    <s v="SIP"/>
    <x v="6"/>
    <n v="2999.82177"/>
    <s v="DK"/>
  </r>
  <r>
    <s v="91093138814"/>
    <s v="INF846K01K35"/>
    <d v="2023-07-25T00:00:00"/>
    <n v="82.8"/>
    <n v="60.383000000000003"/>
    <m/>
    <s v="KOTAK M BANK - NRE"/>
    <s v="JAG SIP"/>
    <x v="9"/>
    <n v="4999.7124000000003"/>
    <s v="DK"/>
  </r>
  <r>
    <s v="91093138965"/>
    <s v="INF846K01K35"/>
    <d v="2023-07-25T00:00:00"/>
    <n v="60.383000000000003"/>
    <n v="82.8"/>
    <m/>
    <s v="KOTAK M BANK - NRE"/>
    <s v="DIV SIP"/>
    <x v="9"/>
    <n v="4999.7124000000003"/>
    <s v="DK"/>
  </r>
  <r>
    <s v="91093138511"/>
    <s v="INF846K01K35"/>
    <d v="2023-08-11T00:00:00"/>
    <n v="35.878999999999998"/>
    <n v="83.61"/>
    <m/>
    <s v="KOTAK M BANK - NRE"/>
    <s v="SIP"/>
    <x v="9"/>
    <n v="2999.8431899999996"/>
    <s v="DK"/>
  </r>
  <r>
    <s v="19915197402"/>
    <s v="INF760K01JW4"/>
    <d v="2023-08-11T00:00:00"/>
    <n v="74.234999999999999"/>
    <n v="13.47"/>
    <m/>
    <s v="DK HDFC NRO"/>
    <s v="SIP"/>
    <x v="10"/>
    <n v="999.94545000000005"/>
    <s v="DK"/>
  </r>
  <r>
    <n v="79931510915"/>
    <s v="INF769K01BI1"/>
    <d v="2023-08-11T00:00:00"/>
    <n v="16.646999999999998"/>
    <n v="120.13500000000001"/>
    <m/>
    <s v="KOTAK M BANK - NRE"/>
    <s v="SIP"/>
    <x v="6"/>
    <n v="1999.8873449999999"/>
    <s v="DK"/>
  </r>
  <r>
    <s v="19915197402"/>
    <s v="INF760K01JC6"/>
    <d v="2023-08-17T00:00:00"/>
    <n v="1319.492"/>
    <n v="30.32"/>
    <m/>
    <s v="DK HDFC NRO"/>
    <s v="Sonarpure Flat sell"/>
    <x v="12"/>
    <n v="40006.997439999999"/>
    <s v="DK"/>
  </r>
  <r>
    <s v="79936204371"/>
    <s v="INF769K01BI1"/>
    <d v="2023-08-18T00:00:00"/>
    <n v="20.754000000000001"/>
    <n v="120.452"/>
    <m/>
    <s v="RS SBI"/>
    <s v="SIP"/>
    <x v="6"/>
    <n v="2499.8608079999999"/>
    <s v="RS"/>
  </r>
  <r>
    <s v="18917658"/>
    <s v="INF200K01T51"/>
    <d v="2023-08-21T00:00:00"/>
    <n v="20.550999999999998"/>
    <n v="145.9692"/>
    <m/>
    <s v="RS SBI"/>
    <s v="SIP"/>
    <x v="7"/>
    <n v="2999.8130291999996"/>
    <s v="RS"/>
  </r>
  <r>
    <n v="79931510915"/>
    <s v="INF769K01BI1"/>
    <d v="2023-08-24T00:00:00"/>
    <n v="24.600999999999999"/>
    <n v="121.94199999999999"/>
    <m/>
    <s v="KOTAK M BANK - NRE"/>
    <s v="SIP"/>
    <x v="6"/>
    <n v="2999.8951419999999"/>
    <s v="DK"/>
  </r>
  <r>
    <s v="91093138814"/>
    <s v="INF846K01K35"/>
    <d v="2023-08-25T00:00:00"/>
    <n v="85.47"/>
    <n v="58.497"/>
    <m/>
    <s v="KOTAK M BANK - NRE"/>
    <s v="JAG SIP"/>
    <x v="9"/>
    <n v="4999.7385899999999"/>
    <s v="DK"/>
  </r>
  <r>
    <s v="91093138965"/>
    <s v="INF846K01K35"/>
    <d v="2023-08-25T00:00:00"/>
    <n v="58.497"/>
    <n v="85.47"/>
    <m/>
    <s v="KOTAK M BANK - NRE"/>
    <s v="DIV SIP"/>
    <x v="9"/>
    <n v="4999.7385899999999"/>
    <s v="DK"/>
  </r>
  <r>
    <s v="91093138511"/>
    <s v="INF846K01K35"/>
    <d v="2023-09-11T00:00:00"/>
    <n v="34.151000000000003"/>
    <n v="87.84"/>
    <m/>
    <s v="KOTAK M BANK - NRE"/>
    <s v="SIP"/>
    <x v="9"/>
    <n v="2999.8238400000005"/>
    <s v="DK"/>
  </r>
  <r>
    <s v="19915197402"/>
    <s v="INF760K01JW4"/>
    <d v="2023-09-11T00:00:00"/>
    <n v="71.424999999999997"/>
    <n v="14"/>
    <m/>
    <s v="DK HDFC NRO"/>
    <s v="SIP"/>
    <x v="10"/>
    <n v="999.94999999999993"/>
    <s v="DK"/>
  </r>
  <r>
    <n v="79931510915"/>
    <s v="INF769K01BI1"/>
    <d v="2023-09-11T00:00:00"/>
    <n v="15.887"/>
    <n v="125.88"/>
    <m/>
    <s v="KOTAK M BANK - NRE"/>
    <s v="SIP"/>
    <x v="6"/>
    <n v="1999.85556"/>
    <s v="DK"/>
  </r>
  <r>
    <s v="79936204371"/>
    <s v="INF769K01BI1"/>
    <d v="2023-09-18T00:00:00"/>
    <n v="20.030999999999999"/>
    <n v="124.803"/>
    <m/>
    <s v="RS SBI"/>
    <s v="SIP"/>
    <x v="6"/>
    <n v="2499.9288929999998"/>
    <s v="RS"/>
  </r>
  <r>
    <s v="10510544"/>
    <s v="INF879O01027"/>
    <d v="2023-09-21T00:00:00"/>
    <n v="2232.29"/>
    <n v="62.730800000000002"/>
    <m/>
    <s v="KOTAK M BANK - NRE"/>
    <m/>
    <x v="3"/>
    <n v="140033.33753200001"/>
    <s v="DK"/>
  </r>
  <r>
    <s v="18917658"/>
    <s v="INF200K01T51"/>
    <d v="2023-09-21T00:00:00"/>
    <n v="19.888999999999999"/>
    <n v="150.8272"/>
    <m/>
    <s v="RS SBI"/>
    <s v="SIP"/>
    <x v="7"/>
    <n v="2999.8021807999999"/>
    <s v="RS"/>
  </r>
  <r>
    <n v="79931510915"/>
    <s v="INF769K01BI1"/>
    <d v="2023-09-22T00:00:00"/>
    <n v="24.161999999999999"/>
    <n v="124.15600000000001"/>
    <m/>
    <s v="KOTAK M BANK - NRE"/>
    <s v="SIP"/>
    <x v="6"/>
    <n v="2999.8572720000002"/>
    <s v="DK"/>
  </r>
  <r>
    <s v="91093138814"/>
    <s v="INF846K01K35"/>
    <d v="2023-09-25T00:00:00"/>
    <n v="87.52"/>
    <n v="57.127000000000002"/>
    <m/>
    <s v="KOTAK M BANK - NRE"/>
    <s v="JAG SIP"/>
    <x v="9"/>
    <n v="4999.75504"/>
    <s v="DK"/>
  </r>
  <r>
    <s v="91093138965"/>
    <s v="INF846K01K35"/>
    <d v="2023-09-25T00:00:00"/>
    <n v="57.127000000000002"/>
    <n v="87.52"/>
    <m/>
    <s v="KOTAK M BANK - NRE"/>
    <s v="DIV SIP"/>
    <x v="9"/>
    <n v="4999.75504"/>
    <s v="DK"/>
  </r>
  <r>
    <s v="19915197402"/>
    <s v="INF760K01JC6"/>
    <d v="2023-10-03T00:00:00"/>
    <n v="155.85300000000001"/>
    <n v="32.08"/>
    <m/>
    <s v="DK HDFC NRO"/>
    <s v="Sonarpure Flat sell"/>
    <x v="12"/>
    <n v="4999.7642400000004"/>
    <s v="DK"/>
  </r>
  <r>
    <s v="10121489"/>
    <s v="INF879O01027"/>
    <d v="2023-10-03T00:00:00"/>
    <n v="80"/>
    <n v="62.494399999999999"/>
    <m/>
    <s v="DK HDFC NRO"/>
    <s v="Long Term"/>
    <x v="3"/>
    <n v="4999.5519999999997"/>
    <s v="DK"/>
  </r>
  <r>
    <s v="19915197402"/>
    <s v="INF760K01JC6"/>
    <d v="2023-10-09T00:00:00"/>
    <n v="788.85299999999995"/>
    <n v="31.69"/>
    <m/>
    <s v="DK HDFC NRO"/>
    <s v="Sonarpure Flat sell"/>
    <x v="12"/>
    <n v="24998.75157"/>
    <s v="DK"/>
  </r>
  <r>
    <s v="10121489"/>
    <s v="INF879O01027"/>
    <d v="2023-10-09T00:00:00"/>
    <n v="479.23500000000001"/>
    <n v="62.596699999999998"/>
    <m/>
    <s v="DK HDFC NRO"/>
    <s v="Long Term"/>
    <x v="3"/>
    <n v="29998.529524500002"/>
    <s v="DK"/>
  </r>
  <r>
    <s v="91093138511"/>
    <s v="INF846K01K35"/>
    <d v="2023-10-11T00:00:00"/>
    <n v="33.683"/>
    <n v="89.06"/>
    <m/>
    <s v="KOTAK M BANK - NRE"/>
    <s v="SIP"/>
    <x v="9"/>
    <n v="2999.80798"/>
    <s v="DK"/>
  </r>
  <r>
    <s v="19915197402"/>
    <s v="INF760K01JW4"/>
    <d v="2023-10-11T00:00:00"/>
    <n v="71.527000000000001"/>
    <n v="13.98"/>
    <m/>
    <s v="DK HDFC NRO"/>
    <s v="SIP"/>
    <x v="10"/>
    <n v="999.94746000000009"/>
    <s v="DK"/>
  </r>
  <r>
    <n v="79931510915"/>
    <s v="INF769K01BI1"/>
    <d v="2023-10-11T00:00:00"/>
    <n v="15.887"/>
    <n v="125.883"/>
    <m/>
    <s v="KOTAK M BANK - NRE"/>
    <s v="SIP"/>
    <x v="6"/>
    <n v="1999.903221"/>
    <s v="DK"/>
  </r>
  <r>
    <s v="19915197402"/>
    <s v="INF760K01JC6"/>
    <d v="2023-10-18T00:00:00"/>
    <n v="925.02300000000002"/>
    <n v="32.43"/>
    <m/>
    <s v="DK HDFC NRO"/>
    <s v="Sonarpure Flat sell"/>
    <x v="12"/>
    <n v="29998.495890000002"/>
    <s v="DK"/>
  </r>
  <r>
    <s v="10121489"/>
    <s v="INF879O01027"/>
    <d v="2023-10-18T00:00:00"/>
    <n v="783.64300000000003"/>
    <n v="63.801400000000001"/>
    <m/>
    <s v="DK HDFC NRO"/>
    <s v="Long Term"/>
    <x v="3"/>
    <n v="49997.5205002"/>
    <s v="DK"/>
  </r>
  <r>
    <s v="79936204371"/>
    <s v="INF769K01BI1"/>
    <d v="2023-10-18T00:00:00"/>
    <n v="19.859000000000002"/>
    <n v="125.883"/>
    <m/>
    <s v="RS SBI"/>
    <s v="SIP"/>
    <x v="6"/>
    <n v="2499.9104970000003"/>
    <s v="RS"/>
  </r>
  <r>
    <s v="18917658"/>
    <s v="INF200K01T51"/>
    <d v="2023-10-21T00:00:00"/>
    <n v="19.620999999999999"/>
    <n v="152.89160000000001"/>
    <m/>
    <s v="RS SBI"/>
    <s v="SIP"/>
    <x v="7"/>
    <n v="2999.8860835999999"/>
    <s v="RS"/>
  </r>
  <r>
    <s v="19915197402"/>
    <s v="INF760K01JC6"/>
    <d v="2023-10-23T00:00:00"/>
    <n v="478.14"/>
    <n v="31.37"/>
    <m/>
    <s v="DK HDFC NRO"/>
    <s v="Sonarpure Flat sell"/>
    <x v="12"/>
    <n v="14999.2518"/>
    <s v="DK"/>
  </r>
  <r>
    <n v="79931510915"/>
    <s v="INF769K01BI1"/>
    <d v="2023-10-23T00:00:00"/>
    <n v="24.870999999999999"/>
    <n v="120.617"/>
    <m/>
    <s v="KOTAK M BANK - NRE"/>
    <s v="SIP"/>
    <x v="6"/>
    <n v="2999.8654069999998"/>
    <s v="DK"/>
  </r>
  <r>
    <s v="91093138814"/>
    <s v="INF846K01K35"/>
    <d v="2023-10-25T00:00:00"/>
    <n v="85.45"/>
    <n v="58.511000000000003"/>
    <m/>
    <s v="KOTAK M BANK - NRE"/>
    <s v="JAG SIP"/>
    <x v="9"/>
    <n v="4999.7649500000007"/>
    <s v="DK"/>
  </r>
  <r>
    <s v="91093138965"/>
    <s v="INF846K01K35"/>
    <d v="2023-10-25T00:00:00"/>
    <n v="58.511000000000003"/>
    <n v="85.45"/>
    <m/>
    <s v="KOTAK M BANK - NRE"/>
    <s v="DIV SIP"/>
    <x v="9"/>
    <n v="4999.7649500000007"/>
    <s v="DK"/>
  </r>
  <r>
    <s v="79931281531"/>
    <s v="INF769K01BI1"/>
    <d v="2023-11-06T00:00:00"/>
    <n v="20.266999999999999"/>
    <n v="123.59399999999999"/>
    <m/>
    <s v="KOTAK M BANK - NRE"/>
    <s v="SIP"/>
    <x v="6"/>
    <n v="2504.879598"/>
    <s v="DK"/>
  </r>
  <r>
    <s v="91093138511"/>
    <s v="INF846K01K35"/>
    <d v="2023-11-13T00:00:00"/>
    <n v="32.652999999999999"/>
    <n v="91.87"/>
    <m/>
    <s v="KOTAK M BANK - NRE"/>
    <s v="SIP"/>
    <x v="9"/>
    <n v="2999.8311100000001"/>
    <s v="DK"/>
  </r>
  <r>
    <s v="19915197402"/>
    <s v="INF760K01JW4"/>
    <d v="2023-11-13T00:00:00"/>
    <n v="70.123000000000005"/>
    <n v="14.26"/>
    <m/>
    <s v="DK HDFC NRO"/>
    <s v="SIP"/>
    <x v="10"/>
    <n v="999.95398"/>
    <s v="DK"/>
  </r>
  <r>
    <n v="79931510915"/>
    <s v="INF769K01BI1"/>
    <d v="2023-11-13T00:00:00"/>
    <n v="15.909000000000001"/>
    <n v="125.71"/>
    <m/>
    <s v="KOTAK M BANK - NRE"/>
    <s v="SIP"/>
    <x v="6"/>
    <n v="1999.92039"/>
    <s v="DK"/>
  </r>
  <r>
    <s v="18917658"/>
    <s v="INF200K01T51"/>
    <d v="2023-11-20T00:00:00"/>
    <n v="19.481000000000002"/>
    <n v="153.9873"/>
    <m/>
    <s v="RS SBI"/>
    <s v="SIP"/>
    <x v="7"/>
    <n v="2999.8265913000005"/>
    <s v="RS"/>
  </r>
  <r>
    <s v="79936204371"/>
    <s v="INF769K01BI1"/>
    <d v="2023-11-20T00:00:00"/>
    <n v="19.786000000000001"/>
    <n v="126.346"/>
    <m/>
    <s v="RS SBI"/>
    <s v="SIP"/>
    <x v="6"/>
    <n v="2499.8819560000002"/>
    <s v="RS"/>
  </r>
  <r>
    <n v="79931510915"/>
    <s v="INF769K01BI1"/>
    <d v="2023-11-22T00:00:00"/>
    <n v="23.652000000000001"/>
    <n v="126.83199999999999"/>
    <m/>
    <s v="KOTAK M BANK - NRE"/>
    <s v="SIP"/>
    <x v="6"/>
    <n v="2999.8304640000001"/>
    <s v="DK"/>
  </r>
  <r>
    <s v="91093138814"/>
    <s v="INF846K01K35"/>
    <d v="2023-11-28T00:00:00"/>
    <n v="92.78"/>
    <n v="53.887999999999998"/>
    <m/>
    <s v="KOTAK M BANK - NRE"/>
    <s v="JAG SIP"/>
    <x v="9"/>
    <n v="4999.7286400000003"/>
    <s v="DK"/>
  </r>
  <r>
    <s v="91093138965"/>
    <s v="INF846K01K35"/>
    <d v="2023-11-28T00:00:00"/>
    <n v="53.887999999999998"/>
    <n v="92.78"/>
    <m/>
    <s v="KOTAK M BANK - NRE"/>
    <s v="DIV SIP"/>
    <x v="9"/>
    <n v="4999.7286400000003"/>
    <s v="DK"/>
  </r>
  <r>
    <n v="79944037504"/>
    <s v="INF769K01BI1"/>
    <d v="2023-11-28T00:00:00"/>
    <n v="39.250999999999998"/>
    <n v="127.506"/>
    <m/>
    <s v="KOTAK M BANK - NRE"/>
    <s v="SIP"/>
    <x v="6"/>
    <n v="5004.7380059999996"/>
    <s v="DK"/>
  </r>
  <r>
    <s v="79931281531"/>
    <s v="INF769K01BI1"/>
    <d v="2023-12-05T00:00:00"/>
    <n v="18.747"/>
    <n v="133.61799999999999"/>
    <m/>
    <s v="KOTAK M BANK - NRE"/>
    <s v="SIP"/>
    <x v="6"/>
    <n v="2504.9366460000001"/>
    <s v="DK"/>
  </r>
  <r>
    <s v="91093138511"/>
    <s v="INF846K01K35"/>
    <d v="2023-12-11T00:00:00"/>
    <n v="31.657"/>
    <n v="94.76"/>
    <m/>
    <s v="KOTAK M BANK - NRE"/>
    <s v="SIP"/>
    <x v="9"/>
    <n v="2999.8173200000001"/>
    <s v="DK"/>
  </r>
  <r>
    <s v="19915197402"/>
    <s v="INF760K01JW4"/>
    <d v="2023-12-11T00:00:00"/>
    <n v="65.7"/>
    <n v="15.22"/>
    <m/>
    <s v="DK HDFC NRO"/>
    <s v="SIP"/>
    <x v="10"/>
    <n v="999.95400000000006"/>
    <s v="DK"/>
  </r>
  <r>
    <n v="79931510915"/>
    <s v="INF769K01BI1"/>
    <d v="2023-12-11T00:00:00"/>
    <n v="14.903"/>
    <n v="134.19300000000001"/>
    <m/>
    <s v="KOTAK M BANK - NRE"/>
    <s v="SIP"/>
    <x v="6"/>
    <n v="1999.8782790000002"/>
    <s v="DK"/>
  </r>
  <r>
    <s v="79936204371"/>
    <s v="INF769K01BI1"/>
    <d v="2023-12-18T00:00:00"/>
    <n v="18.254999999999999"/>
    <n v="136.941"/>
    <m/>
    <s v="RS SBI"/>
    <s v="SIP"/>
    <x v="6"/>
    <n v="2499.8579549999999"/>
    <s v="RS"/>
  </r>
  <r>
    <s v="18917658"/>
    <s v="INF200K01T51"/>
    <d v="2023-12-19T00:00:00"/>
    <n v="18.625"/>
    <n v="161.06180000000001"/>
    <m/>
    <s v="RS SBI"/>
    <s v="SIP"/>
    <x v="7"/>
    <n v="2999.7760250000001"/>
    <s v="RS"/>
  </r>
  <r>
    <n v="79931510915"/>
    <s v="INF769K01BI1"/>
    <d v="2023-12-22T00:00:00"/>
    <n v="23.652000000000001"/>
    <n v="126.83199999999999"/>
    <m/>
    <s v="KOTAK M BANK - NRE"/>
    <s v="SIP"/>
    <x v="6"/>
    <n v="2999.8304640000001"/>
    <s v="DK"/>
  </r>
  <r>
    <s v="91093138814"/>
    <s v="INF846K01K35"/>
    <d v="2023-12-26T00:00:00"/>
    <n v="96.28"/>
    <n v="51.929000000000002"/>
    <m/>
    <s v="KOTAK M BANK - NRE"/>
    <s v="JAG SIP"/>
    <x v="9"/>
    <n v="4999.7241199999999"/>
    <s v="DK"/>
  </r>
  <r>
    <s v="91093138965"/>
    <s v="INF846K01K35"/>
    <d v="2023-12-26T00:00:00"/>
    <n v="51.929000000000002"/>
    <n v="96.28"/>
    <m/>
    <s v="KOTAK M BANK - NRE"/>
    <s v="DIV SIP"/>
    <x v="9"/>
    <n v="4999.7241199999999"/>
    <s v="DK"/>
  </r>
  <r>
    <n v="79944037504"/>
    <s v="INF769K01BI1"/>
    <d v="2023-12-26T00:00:00"/>
    <n v="36.637"/>
    <n v="136.602"/>
    <m/>
    <s v="KOTAK M BANK - NRE"/>
    <s v="SIP"/>
    <x v="6"/>
    <n v="5004.6874740000003"/>
    <s v="DK"/>
  </r>
  <r>
    <s v="79931281531"/>
    <s v="INF769K01BI1"/>
    <d v="2024-01-05T00:00:00"/>
    <n v="18.021000000000001"/>
    <n v="139.001"/>
    <m/>
    <s v="KOTAK M BANK - NRE"/>
    <s v="SIP"/>
    <x v="6"/>
    <n v="2504.9370210000002"/>
    <s v="DK"/>
  </r>
  <r>
    <s v="91093138511"/>
    <s v="INF846K01K35"/>
    <d v="2024-01-11T00:00:00"/>
    <n v="30.259"/>
    <n v="99.14"/>
    <m/>
    <s v="KOTAK M BANK - NRE"/>
    <s v="SIP"/>
    <x v="9"/>
    <n v="2999.8772600000002"/>
    <s v="DK"/>
  </r>
  <r>
    <s v="19915197402"/>
    <s v="INF760K01JW4"/>
    <d v="2024-01-11T00:00:00"/>
    <n v="61.993000000000002"/>
    <n v="16.13"/>
    <m/>
    <s v="DK HDFC NRO"/>
    <s v="SIP"/>
    <x v="10"/>
    <n v="999.94709"/>
    <s v="DK"/>
  </r>
  <r>
    <n v="79931510915"/>
    <s v="INF769K01BI1"/>
    <d v="2024-01-11T00:00:00"/>
    <n v="14.183"/>
    <n v="141.00399999999999"/>
    <m/>
    <s v="KOTAK M BANK - NRE"/>
    <s v="SIP"/>
    <x v="6"/>
    <n v="1999.8597319999999"/>
    <s v="DK"/>
  </r>
  <r>
    <s v="79936204371"/>
    <s v="INF769K01BI1"/>
    <d v="2024-01-18T00:00:00"/>
    <n v="17.939"/>
    <n v="139.35499999999999"/>
    <m/>
    <s v="RS SBI"/>
    <s v="SIP"/>
    <x v="6"/>
    <n v="2499.889345"/>
    <s v="RS"/>
  </r>
  <r>
    <s v="18917658"/>
    <s v="INF200K01T51"/>
    <d v="2024-01-19T00:00:00"/>
    <n v="18.422999999999998"/>
    <n v="162.8323"/>
    <m/>
    <s v="RS SBI"/>
    <s v="SIP"/>
    <x v="7"/>
    <n v="2999.8594628999999"/>
    <s v="RS"/>
  </r>
  <r>
    <n v="79931510915"/>
    <s v="INF769K01BI1"/>
    <d v="2024-01-23T00:00:00"/>
    <n v="21.966000000000001"/>
    <n v="136.57"/>
    <m/>
    <s v="KOTAK M BANK - NRE"/>
    <s v="SIP"/>
    <x v="6"/>
    <n v="2999.89662"/>
    <s v="DK"/>
  </r>
  <r>
    <s v="91093138814"/>
    <s v="INF846K01K35"/>
    <d v="2024-01-25T00:00:00"/>
    <n v="99.56"/>
    <n v="50.218000000000004"/>
    <m/>
    <s v="KOTAK M BANK - NRE"/>
    <s v="JAG SIP"/>
    <x v="9"/>
    <n v="4999.7040800000004"/>
    <s v="DK"/>
  </r>
  <r>
    <s v="91093138965"/>
    <s v="INF846K01K35"/>
    <d v="2024-01-25T00:00:00"/>
    <n v="50.218000000000004"/>
    <n v="99.56"/>
    <m/>
    <s v="KOTAK M BANK - NRE"/>
    <s v="DIV SIP"/>
    <x v="9"/>
    <n v="4999.7040800000004"/>
    <s v="DK"/>
  </r>
  <r>
    <n v="79944037504"/>
    <s v="INF769K01BI1"/>
    <d v="2024-01-25T00:00:00"/>
    <n v="35.595999999999997"/>
    <n v="140.59700000000001"/>
    <m/>
    <s v="KOTAK M BANK - NRE"/>
    <s v="SIP"/>
    <x v="6"/>
    <n v="5004.6908119999998"/>
    <s v="DK"/>
  </r>
  <r>
    <s v="79931281531"/>
    <s v="INF769K01BI1"/>
    <d v="2024-02-01T00:00:00"/>
    <n v="17.625"/>
    <n v="141.84"/>
    <m/>
    <s v="KOTAK M BANK - NRE"/>
    <s v="SIP"/>
    <x v="6"/>
    <n v="2499.9299999999998"/>
    <s v="DK"/>
  </r>
  <r>
    <s v="79931281531"/>
    <s v="INF769K01BI1"/>
    <d v="2024-02-05T00:00:00"/>
    <n v="17.559999999999999"/>
    <n v="142.649"/>
    <m/>
    <s v="KOTAK M BANK - NRE"/>
    <s v="SIP"/>
    <x v="6"/>
    <n v="2504.91644"/>
    <s v="DK"/>
  </r>
  <r>
    <s v="79931281531"/>
    <s v="INF769K01BI1"/>
    <d v="2024-02-07T00:00:00"/>
    <n v="70.481999999999999"/>
    <n v="141.87299999999999"/>
    <m/>
    <s v="KOTAK M BANK - NRE"/>
    <s v="SIP"/>
    <x v="6"/>
    <n v="9999.4927859999989"/>
    <s v="DK"/>
  </r>
  <r>
    <s v="91093138511"/>
    <s v="INF846K01K35"/>
    <d v="2024-02-12T00:00:00"/>
    <n v="30.032"/>
    <n v="99.89"/>
    <m/>
    <s v="KOTAK M BANK - NRE"/>
    <s v="SIP"/>
    <x v="9"/>
    <n v="2999.8964799999999"/>
    <s v="DK"/>
  </r>
  <r>
    <s v="19915197402"/>
    <s v="INF760K01JW4"/>
    <d v="2024-02-12T00:00:00"/>
    <n v="61.347000000000001"/>
    <n v="16.3"/>
    <m/>
    <s v="DK HDFC NRO"/>
    <s v="SIP"/>
    <x v="10"/>
    <n v="999.95610000000011"/>
    <s v="DK"/>
  </r>
  <r>
    <n v="79931510915"/>
    <s v="INF769K01BI1"/>
    <d v="2024-02-12T00:00:00"/>
    <n v="14.151999999999999"/>
    <n v="141.315"/>
    <m/>
    <s v="KOTAK M BANK - NRE"/>
    <s v="SIP"/>
    <x v="6"/>
    <n v="1999.8898799999999"/>
    <s v="DK"/>
  </r>
  <r>
    <s v="79936204371"/>
    <s v="INF769K01BI1"/>
    <d v="2024-02-19T00:00:00"/>
    <n v="17.381"/>
    <n v="143.83199999999999"/>
    <m/>
    <s v="RS SBI"/>
    <s v="SIP"/>
    <x v="6"/>
    <n v="2499.943992"/>
    <s v="RS"/>
  </r>
  <r>
    <s v="18917658"/>
    <s v="INF200K01T51"/>
    <d v="2024-02-21T00:00:00"/>
    <n v="17.722999999999999"/>
    <n v="169.26089999999999"/>
    <m/>
    <s v="RS SBI"/>
    <s v="SIP"/>
    <x v="7"/>
    <n v="2999.8109306999995"/>
    <s v="RS"/>
  </r>
  <r>
    <n v="79931510915"/>
    <s v="INF769K01BI1"/>
    <d v="2024-02-22T00:00:00"/>
    <n v="20.736000000000001"/>
    <n v="144.66800000000001"/>
    <m/>
    <s v="KOTAK M BANK - NRE"/>
    <s v="SIP"/>
    <x v="6"/>
    <n v="2999.8356480000002"/>
    <s v="DK"/>
  </r>
  <r>
    <s v="91093138814"/>
    <s v="INF846K01K35"/>
    <d v="2024-02-26T00:00:00"/>
    <n v="102.26"/>
    <n v="48.893000000000001"/>
    <m/>
    <s v="KOTAK M BANK - NRE"/>
    <s v="JAG SIP"/>
    <x v="9"/>
    <n v="4999.7981800000007"/>
    <s v="DK"/>
  </r>
  <r>
    <s v="91093138965"/>
    <s v="INF846K01K35"/>
    <d v="2024-02-26T00:00:00"/>
    <n v="48.893000000000001"/>
    <n v="102.26"/>
    <m/>
    <s v="KOTAK M BANK - NRE"/>
    <s v="DIV SIP"/>
    <x v="9"/>
    <n v="4999.7981800000007"/>
    <s v="DK"/>
  </r>
  <r>
    <n v="79944037504"/>
    <s v="INF769K01BI1"/>
    <d v="2024-02-26T00:00:00"/>
    <n v="34.536000000000001"/>
    <n v="144.91200000000001"/>
    <m/>
    <s v="KOTAK M BANK - NRE"/>
    <s v="SIP"/>
    <x v="6"/>
    <n v="5004.680832"/>
    <s v="DK"/>
  </r>
  <r>
    <s v="79931281531"/>
    <s v="INF769K01BI1"/>
    <d v="2024-03-01T00:00:00"/>
    <n v="17.128"/>
    <n v="145.952"/>
    <m/>
    <s v="KOTAK M BANK - NRE"/>
    <s v="SIP"/>
    <x v="6"/>
    <n v="2499.8658559999999"/>
    <s v="DK"/>
  </r>
  <r>
    <s v="79931281531"/>
    <s v="INF769K01BI1"/>
    <d v="2024-03-05T00:00:00"/>
    <n v="17.222000000000001"/>
    <n v="142.649"/>
    <m/>
    <s v="KOTAK M BANK - NRE"/>
    <s v="SIP"/>
    <x v="6"/>
    <n v="2456.7010780000001"/>
    <s v="DK"/>
  </r>
  <r>
    <s v="79931281531"/>
    <s v="INF769K01BI1"/>
    <d v="2024-03-07T00:00:00"/>
    <n v="69.263999999999996"/>
    <n v="144.36699999999999"/>
    <m/>
    <s v="KOTAK M BANK - NRE"/>
    <s v="SIP"/>
    <x v="6"/>
    <n v="9999.4358879999982"/>
    <s v="DK"/>
  </r>
  <r>
    <s v="91093138511"/>
    <s v="INF846K01K35"/>
    <d v="2024-03-11T00:00:00"/>
    <n v="32.076999999999998"/>
    <n v="93.52"/>
    <m/>
    <s v="KOTAK M BANK - NRE"/>
    <s v="SIP"/>
    <x v="9"/>
    <n v="2999.8410399999998"/>
    <s v="DK"/>
  </r>
  <r>
    <s v="19915197402"/>
    <s v="INF760K01JW4"/>
    <d v="2024-03-11T00:00:00"/>
    <n v="60.566000000000003"/>
    <n v="16.510000000000002"/>
    <m/>
    <s v="DK HDFC NRO"/>
    <s v="SIP"/>
    <x v="10"/>
    <n v="999.94466000000011"/>
    <s v="DK"/>
  </r>
  <r>
    <n v="79931510915"/>
    <s v="INF769K01BI1"/>
    <d v="2024-03-11T00:00:00"/>
    <n v="14.368"/>
    <n v="139.19200000000001"/>
    <m/>
    <s v="KOTAK M BANK - NRE"/>
    <s v="SIP"/>
    <x v="6"/>
    <n v="1999.9106560000002"/>
    <s v="DK"/>
  </r>
  <r>
    <s v="10121489"/>
    <s v="INF879O01266"/>
    <d v="2024-03-14T00:00:00"/>
    <n v="500.77600000000001"/>
    <n v="9.984"/>
    <m/>
    <s v="DK HDFC NRO"/>
    <s v="Watching"/>
    <x v="13"/>
    <n v="4999.7475839999997"/>
    <s v="DK"/>
  </r>
  <r>
    <s v="79936204371"/>
    <s v="INF769K01BI1"/>
    <d v="2024-03-18T00:00:00"/>
    <n v="17.739999999999998"/>
    <n v="140.91399999999999"/>
    <m/>
    <s v="RS SBI"/>
    <s v="SIP"/>
    <x v="6"/>
    <n v="2499.8143599999994"/>
    <s v="RS"/>
  </r>
  <r>
    <s v="18917658"/>
    <s v="INF200K01T51"/>
    <d v="2024-03-20T00:00:00"/>
    <n v="18.509"/>
    <n v="162.07689999999999"/>
    <m/>
    <s v="RS SBI"/>
    <s v="SIP"/>
    <x v="7"/>
    <n v="2999.8813421"/>
    <s v="RS"/>
  </r>
  <r>
    <n v="79931510915"/>
    <s v="INF769K01BI1"/>
    <d v="2024-03-22T00:00:00"/>
    <n v="21.138000000000002"/>
    <n v="141.91800000000001"/>
    <m/>
    <s v="KOTAK M BANK - NRE"/>
    <s v="SIP"/>
    <x v="6"/>
    <n v="2999.8626840000002"/>
    <s v="DK"/>
  </r>
  <r>
    <s v="91093138814"/>
    <s v="INF846K01K35"/>
    <d v="2024-03-26T00:00:00"/>
    <n v="97.08"/>
    <n v="51.500999999999998"/>
    <m/>
    <s v="KOTAK M BANK - NRE"/>
    <s v="JAG SIP"/>
    <x v="9"/>
    <n v="4999.7170799999994"/>
    <s v="DK"/>
  </r>
  <r>
    <s v="91093138965"/>
    <s v="INF846K01K35"/>
    <d v="2024-03-26T00:00:00"/>
    <n v="51.500999999999998"/>
    <n v="97.08"/>
    <m/>
    <s v="KOTAK M BANK - NRE"/>
    <s v="DIV SIP"/>
    <x v="9"/>
    <n v="4999.7170799999994"/>
    <s v="DK"/>
  </r>
  <r>
    <n v="79944037504"/>
    <s v="INF769K01BI1"/>
    <d v="2024-03-26T00:00:00"/>
    <n v="35.265000000000001"/>
    <n v="141.91800000000001"/>
    <m/>
    <s v="KOTAK M BANK - NRE"/>
    <s v="SIP"/>
    <x v="6"/>
    <n v="5004.7382700000007"/>
    <s v="DK"/>
  </r>
  <r>
    <s v="79931281531"/>
    <s v="INF769K01BI1"/>
    <d v="2024-04-01T00:00:00"/>
    <n v="17.09"/>
    <n v="146.279"/>
    <m/>
    <s v="KOTAK M BANK - NRE"/>
    <s v="SIP"/>
    <x v="6"/>
    <n v="2499.9081099999999"/>
    <s v="DK"/>
  </r>
  <r>
    <s v="79931281531"/>
    <s v="INF769K01BI1"/>
    <d v="2024-04-05T00:00:00"/>
    <n v="16.908000000000001"/>
    <n v="148.14699999999999"/>
    <m/>
    <s v="KOTAK M BANK - NRE"/>
    <s v="SIP"/>
    <x v="6"/>
    <n v="2504.8694759999998"/>
    <s v="DK"/>
  </r>
  <r>
    <s v="79931281531"/>
    <s v="INF769K01BI1"/>
    <d v="2024-04-08T00:00:00"/>
    <n v="67.073999999999998"/>
    <n v="149.08099999999999"/>
    <m/>
    <s v="KOTAK M BANK - NRE"/>
    <s v="SIP"/>
    <x v="6"/>
    <n v="9999.4589939999987"/>
    <s v="DK"/>
  </r>
  <r>
    <s v="91093138511"/>
    <s v="INF846K01K35"/>
    <d v="2024-04-12T00:00:00"/>
    <n v="29.513999999999999"/>
    <n v="101.64"/>
    <m/>
    <s v="KOTAK M BANK - NRE"/>
    <s v="SIP"/>
    <x v="9"/>
    <n v="2999.80296"/>
    <s v="DK"/>
  </r>
  <r>
    <s v="19915197402"/>
    <s v="INF760K01JW4"/>
    <d v="2024-04-12T00:00:00"/>
    <n v="59.698999999999998"/>
    <n v="16.75"/>
    <m/>
    <s v="DK HDFC NRO"/>
    <s v="SIP"/>
    <x v="10"/>
    <n v="999.95825000000002"/>
    <s v="DK"/>
  </r>
  <r>
    <n v="79931510915"/>
    <s v="INF769K01BI1"/>
    <d v="2024-04-12T00:00:00"/>
    <n v="13.526"/>
    <n v="147.85300000000001"/>
    <m/>
    <s v="KOTAK M BANK - NRE"/>
    <s v="SIP"/>
    <x v="6"/>
    <n v="1999.859678"/>
    <s v="DK"/>
  </r>
  <r>
    <s v="79936204371"/>
    <s v="INF769K01BI1"/>
    <d v="2024-04-18T00:00:00"/>
    <n v="17.117000000000001"/>
    <n v="146.04300000000001"/>
    <m/>
    <s v="RS SBI"/>
    <s v="SIP"/>
    <x v="6"/>
    <n v="2499.8180310000002"/>
    <s v="RS"/>
  </r>
  <r>
    <n v="79931510915"/>
    <s v="INF769K01BI1"/>
    <d v="2024-04-22T00:00:00"/>
    <n v="20.451000000000001"/>
    <n v="146.68600000000001"/>
    <m/>
    <s v="KOTAK M BANK - NRE"/>
    <s v="SIP"/>
    <x v="6"/>
    <n v="2999.8753860000002"/>
    <s v="DK"/>
  </r>
  <r>
    <s v="18917658"/>
    <s v="INF200K01T51"/>
    <d v="2024-04-22T00:00:00"/>
    <n v="16.923999999999999"/>
    <n v="177.2586"/>
    <m/>
    <s v="RS SBI"/>
    <s v="SIP"/>
    <x v="7"/>
    <n v="2999.9245464000001"/>
    <s v="RS"/>
  </r>
  <r>
    <s v="91093138814"/>
    <s v="INF846K01K35"/>
    <d v="2024-04-25T00:00:00"/>
    <n v="103.52"/>
    <n v="48.296999999999997"/>
    <m/>
    <s v="KOTAK M BANK - NRE"/>
    <s v="JAG SIP"/>
    <x v="9"/>
    <n v="4999.7054399999997"/>
    <s v="DK"/>
  </r>
  <r>
    <s v="91093138965"/>
    <s v="INF846K01K35"/>
    <d v="2024-04-25T00:00:00"/>
    <n v="48.296999999999997"/>
    <n v="103.52"/>
    <m/>
    <s v="KOTAK M BANK - NRE"/>
    <s v="DIV SIP"/>
    <x v="9"/>
    <n v="4999.7054399999997"/>
    <s v="DK"/>
  </r>
  <r>
    <n v="79944037504"/>
    <s v="INF769K01BI1"/>
    <d v="2024-04-25T00:00:00"/>
    <n v="33.753"/>
    <n v="148.27500000000001"/>
    <m/>
    <s v="KOTAK M BANK - NRE"/>
    <s v="SIP"/>
    <x v="6"/>
    <n v="5004.7260750000005"/>
    <s v="DK"/>
  </r>
  <r>
    <s v="79931281531"/>
    <s v="INF769K01BI1"/>
    <d v="2024-05-02T00:00:00"/>
    <n v="16.696000000000002"/>
    <n v="149.72999999999999"/>
    <m/>
    <s v="KOTAK M BANK - NRE"/>
    <s v="SIP"/>
    <x v="6"/>
    <n v="2499.8920800000001"/>
    <s v="DK"/>
  </r>
  <r>
    <s v="79931281531"/>
    <s v="INF769K01BI1"/>
    <d v="2024-05-06T00:00:00"/>
    <n v="17.044"/>
    <n v="146.965"/>
    <m/>
    <s v="KOTAK M BANK - NRE"/>
    <s v="SIP"/>
    <x v="6"/>
    <n v="2504.8714600000003"/>
    <s v="DK"/>
  </r>
  <r>
    <s v="79931281531"/>
    <s v="INF769K01BI1"/>
    <d v="2024-05-07T00:00:00"/>
    <n v="67.457999999999998"/>
    <n v="148.233"/>
    <m/>
    <s v="KOTAK M BANK - NRE"/>
    <s v="SIP"/>
    <x v="6"/>
    <n v="9999.501714"/>
    <s v="DK"/>
  </r>
  <r>
    <s v="18917658"/>
    <s v="INF200K01T51"/>
    <d v="2024-05-21T00:00:00"/>
    <n v="16.234999999999999"/>
    <n v="184.7749"/>
    <m/>
    <s v="RS SBI"/>
    <s v="SIP"/>
    <x v="7"/>
    <n v="2999.8205014999999"/>
    <s v="RS"/>
  </r>
  <r>
    <s v="79936204371"/>
    <s v="INF769K01BI1"/>
    <d v="2024-05-21T00:00:00"/>
    <n v="16.440999999999999"/>
    <n v="152.054"/>
    <m/>
    <s v="RS SBI"/>
    <s v="SIP"/>
    <x v="6"/>
    <n v="2499.9198139999999"/>
    <s v="RS"/>
  </r>
  <r>
    <s v="79931281531"/>
    <s v="INF769K01BI1"/>
    <d v="2024-06-03T00:00:00"/>
    <n v="17.253"/>
    <n v="144.89699999999999"/>
    <m/>
    <s v="KOTAK M BANK - NRE"/>
    <s v="SIP"/>
    <x v="6"/>
    <n v="2499.9079409999999"/>
    <s v="DK"/>
  </r>
  <r>
    <s v="79931281531"/>
    <s v="INF769K01BI1"/>
    <d v="2024-06-05T00:00:00"/>
    <n v="16.405000000000001"/>
    <n v="152.68600000000001"/>
    <m/>
    <s v="KOTAK M BANK - NRE"/>
    <s v="SIP"/>
    <x v="6"/>
    <n v="2504.8138300000005"/>
    <s v="DK"/>
  </r>
  <r>
    <s v="79931281531"/>
    <s v="INF769K01BI1"/>
    <d v="2024-06-07T00:00:00"/>
    <n v="64.078999999999994"/>
    <n v="156.04900000000001"/>
    <m/>
    <s v="KOTAK M BANK - NRE"/>
    <s v="SIP"/>
    <x v="6"/>
    <n v="9999.4638709999999"/>
    <s v="DK"/>
  </r>
  <r>
    <s v="91093138511"/>
    <s v="INF846K01K35"/>
    <d v="2024-06-11T00:00:00"/>
    <n v="26.861000000000001"/>
    <n v="111.68"/>
    <m/>
    <s v="KOTAK M BANK - NRE"/>
    <s v="SIP"/>
    <x v="9"/>
    <n v="2999.8364800000004"/>
    <s v="DK"/>
  </r>
  <r>
    <s v="19915197402"/>
    <s v="INF760K01JW4"/>
    <d v="2024-06-11T00:00:00"/>
    <n v="55.368000000000002"/>
    <n v="18.059999999999999"/>
    <m/>
    <s v="DK HDFC NRO"/>
    <s v="SIP"/>
    <x v="10"/>
    <n v="999.94607999999994"/>
    <s v="DK"/>
  </r>
  <r>
    <n v="79931510915"/>
    <s v="INF769K01BI1"/>
    <d v="2024-06-11T00:00:00"/>
    <n v="12.635999999999999"/>
    <n v="158.268"/>
    <m/>
    <s v="KOTAK M BANK - NRE"/>
    <s v="SIP"/>
    <x v="6"/>
    <n v="1999.8744479999998"/>
    <s v="DK"/>
  </r>
  <r>
    <s v="91093138511"/>
    <s v="INF846K01K35"/>
    <d v="2024-06-13T00:00:00"/>
    <n v="29.457000000000001"/>
    <n v="101.84"/>
    <m/>
    <s v="KOTAK M BANK - NRE"/>
    <s v="SIP"/>
    <x v="9"/>
    <n v="2999.9008800000001"/>
    <s v="DK"/>
  </r>
  <r>
    <s v="19915197402"/>
    <s v="INF760K01JW4"/>
    <d v="2024-06-13T00:00:00"/>
    <n v="59.238999999999997"/>
    <n v="16.88"/>
    <m/>
    <s v="DK HDFC NRO"/>
    <s v="SIP"/>
    <x v="10"/>
    <n v="999.95431999999994"/>
    <s v="DK"/>
  </r>
  <r>
    <n v="79931510915"/>
    <s v="INF769K01BI1"/>
    <d v="2024-06-13T00:00:00"/>
    <n v="13.505000000000001"/>
    <n v="148.08699999999999"/>
    <m/>
    <s v="KOTAK M BANK - NRE"/>
    <s v="SIP"/>
    <x v="6"/>
    <n v="1999.914935"/>
    <s v="DK"/>
  </r>
  <r>
    <s v="79936204371"/>
    <s v="INF769K01BI1"/>
    <d v="2024-06-18T00:00:00"/>
    <n v="15.598000000000001"/>
    <n v="160.26499999999999"/>
    <m/>
    <s v="RS SBI"/>
    <s v="SIP"/>
    <x v="6"/>
    <n v="2499.8134700000001"/>
    <s v="RS"/>
  </r>
  <r>
    <s v="18917658"/>
    <s v="INF200K01T51"/>
    <d v="2024-06-19T00:00:00"/>
    <n v="15.161"/>
    <n v="197.86449999999999"/>
    <m/>
    <s v="RS SBI"/>
    <s v="SIP"/>
    <x v="7"/>
    <n v="2999.8236844999997"/>
    <s v="RS"/>
  </r>
  <r>
    <n v="79931510915"/>
    <s v="INF769K01BI1"/>
    <d v="2024-06-22T00:00:00"/>
    <n v="19.550999999999998"/>
    <n v="153.441"/>
    <m/>
    <s v="KOTAK M BANK - NRE"/>
    <s v="SIP"/>
    <x v="6"/>
    <n v="2999.9249909999999"/>
    <s v="DK"/>
  </r>
  <r>
    <n v="79931510915"/>
    <s v="INF769K01BI1"/>
    <d v="2024-06-24T00:00:00"/>
    <n v="18.655000000000001"/>
    <n v="160.80600000000001"/>
    <m/>
    <s v="KOTAK M BANK - NRE"/>
    <s v="SIP"/>
    <x v="6"/>
    <n v="2999.8359300000002"/>
    <s v="DK"/>
  </r>
  <r>
    <s v="91093138814"/>
    <s v="INF846K01K35"/>
    <d v="2024-06-25T00:00:00"/>
    <n v="113.4"/>
    <n v="44.09"/>
    <m/>
    <s v="KOTAK M BANK - NRE"/>
    <s v="JAG SIP"/>
    <x v="9"/>
    <n v="4999.8060000000005"/>
    <s v="DK"/>
  </r>
  <r>
    <s v="91093138814"/>
    <s v="INF846K01K35"/>
    <d v="2024-06-25T00:00:00"/>
    <n v="117.51"/>
    <n v="42.546999999999997"/>
    <m/>
    <s v="KOTAK M BANK - NRE"/>
    <s v="JAG SIP"/>
    <x v="9"/>
    <n v="4999.6979700000002"/>
    <s v="DK"/>
  </r>
  <r>
    <s v="91093138965"/>
    <s v="INF846K01K35"/>
    <d v="2024-06-25T00:00:00"/>
    <n v="44.09"/>
    <n v="113.4"/>
    <m/>
    <s v="KOTAK M BANK - NRE"/>
    <s v="DIV SIP"/>
    <x v="9"/>
    <n v="4999.8060000000005"/>
    <s v="DK"/>
  </r>
  <r>
    <s v="91093138965"/>
    <s v="INF846K01K35"/>
    <d v="2024-06-25T00:00:00"/>
    <n v="42.546999999999997"/>
    <n v="117.51"/>
    <m/>
    <s v="KOTAK M BANK - NRE"/>
    <s v="DIV SIP"/>
    <x v="9"/>
    <n v="4999.6979700000002"/>
    <s v="DK"/>
  </r>
  <r>
    <n v="79944037504"/>
    <s v="INF769K01BI1"/>
    <d v="2024-06-25T00:00:00"/>
    <n v="31.111000000000001"/>
    <n v="160.869"/>
    <m/>
    <s v="KOTAK M BANK - NRE"/>
    <s v="SIP"/>
    <x v="6"/>
    <n v="5004.7954589999999"/>
    <s v="DK"/>
  </r>
  <r>
    <n v="79944037504"/>
    <s v="INF769K01BI1"/>
    <d v="2024-06-25T00:00:00"/>
    <n v="29.721"/>
    <n v="168.38900000000001"/>
    <m/>
    <s v="KOTAK M BANK - NRE"/>
    <s v="SIP"/>
    <x v="6"/>
    <n v="5004.6894689999999"/>
    <s v="DK"/>
  </r>
  <r>
    <s v="91093138814"/>
    <s v="INF846K01K35"/>
    <d v="2024-06-27T00:00:00"/>
    <n v="105.35"/>
    <n v="47.457999999999998"/>
    <m/>
    <s v="KOTAK M BANK - NRE"/>
    <s v="JAG SIP"/>
    <x v="9"/>
    <n v="4999.7002999999995"/>
    <s v="DK"/>
  </r>
  <r>
    <s v="91093138965"/>
    <s v="INF846K01K35"/>
    <d v="2024-06-27T00:00:00"/>
    <n v="47.457999999999998"/>
    <n v="105.35"/>
    <m/>
    <s v="KOTAK M BANK - NRE"/>
    <s v="DIV SIP"/>
    <x v="9"/>
    <n v="4999.7002999999995"/>
    <s v="DK"/>
  </r>
  <r>
    <n v="79944037504"/>
    <s v="INF769K01BI1"/>
    <d v="2024-06-27T00:00:00"/>
    <n v="32.747"/>
    <n v="152.82900000000001"/>
    <m/>
    <s v="KOTAK M BANK - NRE"/>
    <s v="SIP"/>
    <x v="6"/>
    <n v="5004.6912630000006"/>
    <s v="DK"/>
  </r>
  <r>
    <s v="79931281531"/>
    <s v="INF769K01BI1"/>
    <d v="2024-07-01T00:00:00"/>
    <n v="15.362"/>
    <n v="162.73099999999999"/>
    <m/>
    <s v="KOTAK M BANK - NRE"/>
    <s v="SIP"/>
    <x v="6"/>
    <n v="2499.8736220000001"/>
    <s v="DK"/>
  </r>
  <r>
    <s v="79931281531"/>
    <s v="INF769K01BI1"/>
    <d v="2024-07-05T00:00:00"/>
    <n v="15.215"/>
    <n v="164.636"/>
    <m/>
    <s v="KOTAK M BANK - NRE"/>
    <s v="SIP"/>
    <x v="6"/>
    <n v="2504.9367400000001"/>
    <s v="DK"/>
  </r>
  <r>
    <s v="79931281531"/>
    <s v="INF769K01BI1"/>
    <d v="2024-07-08T00:00:00"/>
    <n v="60.478000000000002"/>
    <n v="165.34100000000001"/>
    <m/>
    <s v="KOTAK M BANK - NRE"/>
    <s v="SIP"/>
    <x v="6"/>
    <n v="9999.4929980000015"/>
    <s v="DK"/>
  </r>
  <r>
    <s v="91093138511"/>
    <s v="INF846K01K35"/>
    <d v="2024-07-11T00:00:00"/>
    <n v="25.69"/>
    <n v="116.77"/>
    <m/>
    <s v="KOTAK M BANK - NRE"/>
    <s v="SIP"/>
    <x v="9"/>
    <n v="2999.8213000000001"/>
    <s v="DK"/>
  </r>
  <r>
    <s v="19915197402"/>
    <s v="INF760K01JW4"/>
    <d v="2024-07-11T00:00:00"/>
    <n v="52.326000000000001"/>
    <n v="19.11"/>
    <m/>
    <s v="DK HDFC NRO"/>
    <s v="SIP"/>
    <x v="10"/>
    <n v="999.94985999999994"/>
    <s v="DK"/>
  </r>
  <r>
    <n v="79931510915"/>
    <s v="INF769K01BI1"/>
    <d v="2024-07-11T00:00:00"/>
    <n v="12.06"/>
    <n v="165.82900000000001"/>
    <m/>
    <s v="KOTAK M BANK - NRE"/>
    <s v="SIP"/>
    <x v="6"/>
    <n v="1999.8977400000001"/>
    <s v="DK"/>
  </r>
  <r>
    <s v="79936204371"/>
    <s v="INF769K01BI1"/>
    <d v="2024-07-18T00:00:00"/>
    <n v="15.199"/>
    <n v="164.47499999999999"/>
    <m/>
    <s v="RS SBI"/>
    <s v="SIP"/>
    <x v="6"/>
    <n v="2499.8555249999999"/>
    <s v="RS"/>
  </r>
  <r>
    <s v="18917658"/>
    <s v="INF200K01T51"/>
    <d v="2024-07-19T00:00:00"/>
    <n v="14.944000000000001"/>
    <n v="200.7347"/>
    <m/>
    <s v="RS SBI"/>
    <s v="SIP"/>
    <x v="7"/>
    <n v="2999.7793568000002"/>
    <s v="RS"/>
  </r>
  <r>
    <n v="79931510915"/>
    <s v="INF769K01BI1"/>
    <d v="2024-07-22T00:00:00"/>
    <n v="18.123000000000001"/>
    <n v="165.52500000000001"/>
    <m/>
    <s v="KOTAK M BANK - NRE"/>
    <s v="SIP"/>
    <x v="6"/>
    <n v="2999.8095750000002"/>
    <s v="DK"/>
  </r>
  <r>
    <s v="79931281531"/>
    <s v="INF769K01BI1"/>
    <d v="2024-08-01T00:00:00"/>
    <n v="14.843"/>
    <n v="168.42500000000001"/>
    <m/>
    <s v="KOTAK M BANK - NRE"/>
    <s v="SIP"/>
    <x v="6"/>
    <n v="2499.9322750000001"/>
    <s v="DK"/>
  </r>
  <r>
    <s v="79931281531"/>
    <s v="INF769K01BI1"/>
    <d v="2024-08-05T00:00:00"/>
    <n v="15.425000000000001"/>
    <n v="162.386"/>
    <m/>
    <s v="KOTAK M BANK - NRE"/>
    <s v="SIP"/>
    <x v="6"/>
    <n v="2504.8040500000002"/>
    <s v="DK"/>
  </r>
  <r>
    <s v="79931281531"/>
    <s v="INF769K01BI1"/>
    <d v="2024-08-07T00:00:00"/>
    <n v="60.905000000000001"/>
    <n v="164.18100000000001"/>
    <m/>
    <s v="KOTAK M BANK - NRE"/>
    <s v="SIP"/>
    <x v="6"/>
    <n v="9999.4438050000008"/>
    <s v="DK"/>
  </r>
  <r>
    <s v="79954053351"/>
    <s v="INF769K01DM9"/>
    <d v="2024-08-09T00:00:00"/>
    <n v="189.708"/>
    <n v="52.71"/>
    <m/>
    <s v="DK HDFC NRO"/>
    <s v="Tax Saving"/>
    <x v="11"/>
    <n v="9999.5086800000008"/>
    <s v="DK"/>
  </r>
  <r>
    <s v="19915197402"/>
    <s v="INF760K01JW4"/>
    <d v="2024-08-11T00:00:00"/>
    <n v="53.302"/>
    <n v="18.760000000000002"/>
    <m/>
    <s v="DK HDFC NRO"/>
    <s v="SIP"/>
    <x v="10"/>
    <n v="999.9455200000001"/>
    <s v="DK"/>
  </r>
  <r>
    <n v="79931510915"/>
    <s v="INF769K01BI1"/>
    <d v="2024-08-11T00:00:00"/>
    <n v="12.215999999999999"/>
    <n v="163.71799999999999"/>
    <m/>
    <s v="KOTAK M BANK - NRE"/>
    <s v="SIP"/>
    <x v="6"/>
    <n v="1999.9790879999998"/>
    <s v="DK"/>
  </r>
  <r>
    <s v="91093138511"/>
    <s v="INF846K01K35"/>
    <d v="2024-08-12T00:00:00"/>
    <n v="26.038"/>
    <n v="115.21"/>
    <m/>
    <s v="KOTAK M BANK - NRE"/>
    <s v="SIP"/>
    <x v="9"/>
    <n v="2999.8379799999998"/>
    <s v="DK"/>
  </r>
  <r>
    <s v="18917658"/>
    <s v="INF200K01T51"/>
    <d v="2024-08-19T00:00:00"/>
    <n v="14.698"/>
    <n v="204.10159999999999"/>
    <m/>
    <s v="RS SBI"/>
    <s v="SIP"/>
    <x v="7"/>
    <n v="2999.8853168000001"/>
    <s v="RS"/>
  </r>
  <r>
    <s v="79936204371"/>
    <s v="INF769K01BI1"/>
    <d v="2024-08-19T00:00:00"/>
    <n v="14.936999999999999"/>
    <n v="167.363"/>
    <m/>
    <s v="RS SBI"/>
    <s v="SIP"/>
    <x v="6"/>
    <n v="2499.9011310000001"/>
    <s v="RS"/>
  </r>
  <r>
    <n v="79931510915"/>
    <s v="INF769K01BI1"/>
    <d v="2024-08-22T00:00:00"/>
    <n v="17.728999999999999"/>
    <n v="169.20699999999999"/>
    <m/>
    <s v="KOTAK M BANK - NRE"/>
    <s v="SIP"/>
    <x v="6"/>
    <n v="2999.8709029999995"/>
    <s v="DK"/>
  </r>
  <r>
    <s v="91093138814"/>
    <s v="INF846K01K35"/>
    <d v="2024-08-26T00:00:00"/>
    <n v="121.04"/>
    <n v="41.307000000000002"/>
    <m/>
    <s v="KOTAK M BANK - NRE"/>
    <s v="JAG SIP"/>
    <x v="9"/>
    <n v="4999.7992800000002"/>
    <s v="DK"/>
  </r>
  <r>
    <s v="91093138965"/>
    <s v="INF846K01K35"/>
    <d v="2024-08-26T00:00:00"/>
    <n v="41.307000000000002"/>
    <n v="121.04"/>
    <m/>
    <s v="KOTAK M BANK - NRE"/>
    <s v="DIV SIP"/>
    <x v="9"/>
    <n v="4999.7992800000002"/>
    <s v="DK"/>
  </r>
  <r>
    <n v="79944037504"/>
    <s v="INF769K01BI1"/>
    <d v="2024-08-26T00:00:00"/>
    <n v="29.27"/>
    <n v="170.98699999999999"/>
    <m/>
    <s v="KOTAK M BANK - NRE"/>
    <s v="SIP"/>
    <x v="6"/>
    <n v="5004.7894900000001"/>
    <s v="DK"/>
  </r>
  <r>
    <s v="79931281531"/>
    <s v="INF769K01BI1"/>
    <d v="2024-09-02T00:00:00"/>
    <n v="14.510999999999999"/>
    <n v="172.27600000000001"/>
    <m/>
    <s v="KOTAK M BANK - NRE"/>
    <s v="SIP"/>
    <x v="6"/>
    <n v="2499.8970359999998"/>
    <s v="DK"/>
  </r>
  <r>
    <s v="79954053351"/>
    <s v="INF769K01DM9"/>
    <d v="2024-09-03T00:00:00"/>
    <n v="226.857"/>
    <n v="55.097999999999999"/>
    <m/>
    <s v="DK HDFC NRO"/>
    <s v="Tax Saving"/>
    <x v="11"/>
    <n v="12499.366985999999"/>
    <s v="DK"/>
  </r>
  <r>
    <s v="79931281531"/>
    <s v="INF769K01BI1"/>
    <d v="2024-09-05T00:00:00"/>
    <n v="14.744999999999999"/>
    <n v="169.876"/>
    <m/>
    <s v="KOTAK M BANK - NRE"/>
    <s v="SIP"/>
    <x v="6"/>
    <n v="2504.8216199999997"/>
    <s v="DK"/>
  </r>
  <r>
    <s v="79931281531"/>
    <s v="INF769K01BI1"/>
    <d v="2024-09-09T00:00:00"/>
    <n v="58.543999999999997"/>
    <n v="170.803"/>
    <m/>
    <s v="KOTAK M BANK - NRE"/>
    <s v="SIP"/>
    <x v="6"/>
    <n v="9999.4908319999995"/>
    <s v="DK"/>
  </r>
  <r>
    <s v="91093138511"/>
    <s v="INF846K01K35"/>
    <d v="2024-09-11T00:00:00"/>
    <n v="24.33"/>
    <n v="123.3"/>
    <m/>
    <s v="KOTAK M BANK - NRE"/>
    <s v="SIP"/>
    <x v="9"/>
    <n v="2999.8889999999997"/>
    <s v="DK"/>
  </r>
  <r>
    <s v="19915197402"/>
    <s v="INF760K01JW4"/>
    <d v="2024-09-11T00:00:00"/>
    <n v="49.723999999999997"/>
    <n v="20.11"/>
    <m/>
    <s v="DK HDFC NRO"/>
    <s v="SIP"/>
    <x v="10"/>
    <n v="999.94963999999993"/>
    <s v="DK"/>
  </r>
  <r>
    <n v="79931510915"/>
    <s v="INF769K01BI1"/>
    <d v="2024-09-11T00:00:00"/>
    <n v="11.603999999999999"/>
    <n v="172.339"/>
    <m/>
    <s v="KOTAK M BANK - NRE"/>
    <s v="SIP"/>
    <x v="6"/>
    <n v="1999.8217559999998"/>
    <s v="DK"/>
  </r>
  <r>
    <s v="79936204371"/>
    <s v="INF769K01BI1"/>
    <d v="2024-09-18T00:00:00"/>
    <n v="14.638999999999999"/>
    <n v="170.76900000000001"/>
    <m/>
    <s v="RS SBI"/>
    <s v="SIP"/>
    <x v="6"/>
    <n v="2499.8873909999998"/>
    <s v="RS"/>
  </r>
  <r>
    <s v="18917658"/>
    <s v="INF200K01T51"/>
    <d v="2024-09-19T00:00:00"/>
    <n v="14.198"/>
    <n v="211.2903"/>
    <m/>
    <s v="RS SBI"/>
    <s v="SIP"/>
    <x v="7"/>
    <n v="2999.8996794"/>
    <s v="RS"/>
  </r>
  <r>
    <n v="79931510915"/>
    <s v="INF769K01BI1"/>
    <d v="2024-09-23T00:00:00"/>
    <n v="17.239999999999998"/>
    <n v="174.005"/>
    <m/>
    <s v="KOTAK M BANK - NRE"/>
    <s v="SIP"/>
    <x v="6"/>
    <n v="2999.8461999999995"/>
    <s v="DK"/>
  </r>
  <r>
    <s v="91093138814"/>
    <s v="INF846K01K35"/>
    <d v="2024-09-25T00:00:00"/>
    <n v="126.03"/>
    <n v="39.670999999999999"/>
    <m/>
    <s v="KOTAK M BANK - NRE"/>
    <s v="JAG SIP"/>
    <x v="9"/>
    <n v="4999.7361300000002"/>
    <s v="DK"/>
  </r>
  <r>
    <s v="91093138965"/>
    <s v="INF846K01K35"/>
    <d v="2024-09-25T00:00:00"/>
    <n v="39.670999999999999"/>
    <n v="126.03"/>
    <m/>
    <s v="KOTAK M BANK - NRE"/>
    <s v="DIV SIP"/>
    <x v="9"/>
    <n v="4999.7361300000002"/>
    <s v="DK"/>
  </r>
  <r>
    <n v="79944037504"/>
    <s v="INF769K01BI1"/>
    <d v="2024-09-25T00:00:00"/>
    <n v="28.565000000000001"/>
    <n v="175.20500000000001"/>
    <m/>
    <s v="KOTAK M BANK - NRE"/>
    <s v="SIP"/>
    <x v="6"/>
    <n v="5004.7308250000006"/>
    <s v="DK"/>
  </r>
  <r>
    <s v="79931281531"/>
    <s v="INF769K01BI1"/>
    <d v="2024-10-01T00:00:00"/>
    <n v="14.644"/>
    <n v="170.70699999999999"/>
    <m/>
    <s v="KOTAK M BANK - NRE"/>
    <s v="SIP"/>
    <x v="6"/>
    <n v="2499.8333079999998"/>
    <s v="DK"/>
  </r>
  <r>
    <s v="79954053351"/>
    <s v="INF769K01DM9"/>
    <d v="2024-10-03T00:00:00"/>
    <n v="1275.2139999999999"/>
    <n v="54.89"/>
    <m/>
    <s v="DK HDFC NRO"/>
    <s v="Tax Saving"/>
    <x v="11"/>
    <n v="69996.496459999995"/>
    <s v="DK"/>
  </r>
  <r>
    <s v="19915197402"/>
    <s v="INF760K01JC6"/>
    <d v="2024-10-07T00:00:00"/>
    <n v="1139.383"/>
    <n v="43.89"/>
    <m/>
    <s v="DK HDFC NRO"/>
    <s v="Sonarpure Flat sell"/>
    <x v="12"/>
    <n v="50007.519870000004"/>
    <s v="DK"/>
  </r>
  <r>
    <s v="79954053351"/>
    <s v="INF769K01DM9"/>
    <d v="2024-10-07T00:00:00"/>
    <n v="280.21800000000002"/>
    <n v="53.527000000000001"/>
    <m/>
    <s v="DK HDFC NRO"/>
    <s v="Tax Saving"/>
    <x v="11"/>
    <n v="14999.228886000001"/>
    <s v="DK"/>
  </r>
  <r>
    <s v="79931281531"/>
    <s v="INF769K01BI1"/>
    <d v="2024-10-07T00:00:00"/>
    <n v="59.399000000000001"/>
    <n v="168.346"/>
    <m/>
    <s v="KOTAK M BANK - NRE"/>
    <s v="SIP"/>
    <x v="6"/>
    <n v="9999.5840540000008"/>
    <s v="DK"/>
  </r>
  <r>
    <s v="79931281531"/>
    <s v="INF769K01BI1"/>
    <d v="2024-10-07T00:00:00"/>
    <n v="14.879"/>
    <n v="168.346"/>
    <m/>
    <s v="KOTAK M BANK - NRE"/>
    <s v="SIP"/>
    <x v="6"/>
    <n v="2504.8201340000001"/>
    <s v="DK"/>
  </r>
  <r>
    <s v="91093138511"/>
    <s v="INF846K01K35"/>
    <d v="2024-10-11T00:00:00"/>
    <n v="24.097000000000001"/>
    <n v="124.49"/>
    <m/>
    <s v="KOTAK M BANK - NRE"/>
    <s v="SIP"/>
    <x v="9"/>
    <n v="2999.8355299999998"/>
    <s v="DK"/>
  </r>
  <r>
    <s v="19915197402"/>
    <s v="INF760K01JW4"/>
    <d v="2024-10-11T00:00:00"/>
    <n v="50.35"/>
    <n v="19.86"/>
    <m/>
    <s v="DK HDFC NRO"/>
    <s v="SIP"/>
    <x v="10"/>
    <n v="999.95100000000002"/>
    <s v="DK"/>
  </r>
  <r>
    <n v="79931510915"/>
    <s v="INF769K01BI1"/>
    <d v="2024-10-11T00:00:00"/>
    <n v="11.768000000000001"/>
    <n v="169.94"/>
    <m/>
    <s v="KOTAK M BANK - NRE"/>
    <s v="SIP"/>
    <x v="6"/>
    <n v="1999.85392"/>
    <s v="DK"/>
  </r>
  <r>
    <s v="499183354147"/>
    <s v="INF204K01K15"/>
    <d v="2024-10-15T00:00:00"/>
    <n v="24.542999999999999"/>
    <n v="203.92009999999999"/>
    <m/>
    <s v="DK HDFC NRO"/>
    <s v="SIP"/>
    <x v="1"/>
    <n v="5004.8110142999994"/>
    <s v="DK"/>
  </r>
  <r>
    <s v="79936204371"/>
    <s v="INF769K01BI1"/>
    <d v="2024-10-18T00:00:00"/>
    <n v="14.961"/>
    <n v="167.09800000000001"/>
    <m/>
    <s v="RS SBI"/>
    <s v="SIP"/>
    <x v="6"/>
    <n v="2499.9531780000002"/>
    <s v="RS"/>
  </r>
  <r>
    <s v="18917658"/>
    <s v="INF200K01T51"/>
    <d v="2024-10-21T00:00:00"/>
    <n v="14.340999999999999"/>
    <n v="209.18119999999999"/>
    <m/>
    <s v="RS SBI"/>
    <s v="SIP"/>
    <x v="7"/>
    <n v="2999.8675891999997"/>
    <s v="RS"/>
  </r>
  <r>
    <n v="79931510915"/>
    <s v="INF769K01BI1"/>
    <d v="2024-10-22T00:00:00"/>
    <n v="18.338999999999999"/>
    <n v="163.577"/>
    <m/>
    <s v="KOTAK M BANK - NRE"/>
    <s v="SIP"/>
    <x v="6"/>
    <n v="2999.8386029999997"/>
    <s v="DK"/>
  </r>
  <r>
    <s v="91093138814"/>
    <s v="INF846K01K35"/>
    <d v="2024-10-25T00:00:00"/>
    <n v="117.5"/>
    <n v="42.551000000000002"/>
    <m/>
    <s v="KOTAK M BANK - NRE"/>
    <s v="JAG SIP"/>
    <x v="9"/>
    <n v="4999.7425000000003"/>
    <s v="DK"/>
  </r>
  <r>
    <s v="91093138965"/>
    <s v="INF846K01K35"/>
    <d v="2024-10-25T00:00:00"/>
    <n v="42.551000000000002"/>
    <n v="117.5"/>
    <m/>
    <s v="KOTAK M BANK - NRE"/>
    <s v="DIV SIP"/>
    <x v="9"/>
    <n v="4999.7425000000003"/>
    <s v="DK"/>
  </r>
  <r>
    <n v="79944037504"/>
    <s v="INF769K01BI1"/>
    <d v="2024-10-25T00:00:00"/>
    <n v="30.853000000000002"/>
    <n v="162.215"/>
    <m/>
    <s v="KOTAK M BANK - NRE"/>
    <s v="SIP"/>
    <x v="6"/>
    <n v="5004.8193950000004"/>
    <s v="DK"/>
  </r>
  <r>
    <s v="79931281531"/>
    <s v="INF769K01BI1"/>
    <d v="2024-11-04T00:00:00"/>
    <n v="15.481999999999999"/>
    <n v="161.47"/>
    <m/>
    <s v="KOTAK M BANK - NRE"/>
    <s v="SIP"/>
    <x v="6"/>
    <n v="2499.8785399999997"/>
    <s v="DK"/>
  </r>
  <r>
    <s v="79931281531"/>
    <s v="INF769K01BI1"/>
    <d v="2024-11-05T00:00:00"/>
    <n v="15.141999999999999"/>
    <n v="165.42099999999999"/>
    <m/>
    <s v="KOTAK M BANK - NRE"/>
    <s v="SIP"/>
    <x v="6"/>
    <n v="2504.8047819999997"/>
    <s v="DK"/>
  </r>
  <r>
    <s v="79931281531"/>
    <s v="INF769K01BI1"/>
    <d v="2024-11-07T00:00:00"/>
    <n v="61.271000000000001"/>
    <n v="163.202"/>
    <m/>
    <s v="KOTAK M BANK - NRE"/>
    <s v="SIP"/>
    <x v="6"/>
    <n v="9999.5497419999992"/>
    <s v="DK"/>
  </r>
  <r>
    <s v="91093138511"/>
    <s v="INF846K01K35"/>
    <d v="2024-11-11T00:00:00"/>
    <n v="25.402999999999999"/>
    <n v="118.09"/>
    <m/>
    <s v="KOTAK M BANK - NRE"/>
    <s v="SIP"/>
    <x v="9"/>
    <n v="2999.8402700000001"/>
    <s v="DK"/>
  </r>
  <r>
    <s v="19915197402"/>
    <s v="INF760K01JW4"/>
    <d v="2024-11-11T00:00:00"/>
    <n v="52.878999999999998"/>
    <n v="18.91"/>
    <m/>
    <s v="DK HDFC NRO"/>
    <s v="SIP"/>
    <x v="10"/>
    <n v="999.94188999999994"/>
    <s v="DK"/>
  </r>
  <r>
    <n v="79931510915"/>
    <s v="INF769K01BI1"/>
    <d v="2024-11-11T00:00:00"/>
    <n v="12.461"/>
    <n v="160.495"/>
    <m/>
    <s v="KOTAK M BANK - NRE"/>
    <s v="SIP"/>
    <x v="6"/>
    <n v="1999.9281950000002"/>
    <s v="DK"/>
  </r>
  <r>
    <s v="499183354147"/>
    <s v="INF204K01K15"/>
    <d v="2024-11-12T00:00:00"/>
    <n v="26.152999999999999"/>
    <n v="191.36660000000001"/>
    <m/>
    <s v="DK HDFC NRO"/>
    <s v="SIP"/>
    <x v="1"/>
    <n v="5004.8106897999996"/>
    <s v="DK"/>
  </r>
  <r>
    <s v="10510544"/>
    <s v="INF879O01027"/>
    <d v="2024-11-12T00:00:00"/>
    <n v="2309.77"/>
    <n v="86.586399999999998"/>
    <m/>
    <s v="KOTAK M BANK - NRE"/>
    <m/>
    <x v="3"/>
    <n v="199994.66912799998"/>
    <s v="DK"/>
  </r>
  <r>
    <s v="79936204371"/>
    <s v="INF769K01BI1"/>
    <d v="2024-11-18T00:00:00"/>
    <n v="15.811"/>
    <n v="158.11500000000001"/>
    <m/>
    <s v="RS SBI"/>
    <s v="SIP"/>
    <x v="6"/>
    <n v="2499.9562650000003"/>
    <s v="RS"/>
  </r>
  <r>
    <s v="18917658"/>
    <s v="INF200K01T51"/>
    <d v="2024-11-19T00:00:00"/>
    <n v="15.234"/>
    <n v="196.91489999999999"/>
    <m/>
    <s v="RS SBI"/>
    <s v="SIP"/>
    <x v="7"/>
    <n v="2999.8015865999996"/>
    <s v="RS"/>
  </r>
  <r>
    <n v="79931510915"/>
    <s v="INF769K01BI1"/>
    <d v="2024-11-22T00:00:00"/>
    <n v="18.407"/>
    <n v="162.976"/>
    <m/>
    <s v="KOTAK M BANK - NRE"/>
    <s v="SIP"/>
    <x v="6"/>
    <n v="2999.8992320000002"/>
    <s v="DK"/>
  </r>
  <r>
    <s v="91093138814"/>
    <s v="INF846K01K35"/>
    <d v="2024-11-25T00:00:00"/>
    <n v="120.13"/>
    <n v="41.619"/>
    <m/>
    <s v="KOTAK M BANK - NRE"/>
    <s v="JAG SIP"/>
    <x v="9"/>
    <n v="4999.6904699999996"/>
    <s v="DK"/>
  </r>
  <r>
    <s v="91093138965"/>
    <s v="INF846K01K35"/>
    <d v="2024-11-25T00:00:00"/>
    <n v="41.619"/>
    <n v="120.13"/>
    <m/>
    <s v="KOTAK M BANK - NRE"/>
    <s v="DIV SIP"/>
    <x v="9"/>
    <n v="4999.6904699999996"/>
    <s v="DK"/>
  </r>
  <r>
    <n v="79944037504"/>
    <s v="INF769K01BI1"/>
    <d v="2024-11-25T00:00:00"/>
    <n v="30.722999999999999"/>
    <n v="162.89699999999999"/>
    <m/>
    <s v="KOTAK M BANK - NRE"/>
    <s v="SIP"/>
    <x v="6"/>
    <n v="5004.6845309999999"/>
    <s v="DK"/>
  </r>
  <r>
    <s v="10510544"/>
    <s v="INF879O01027"/>
    <d v="2024-11-28T00:00:00"/>
    <n v="1157.316"/>
    <n v="86.402500000000003"/>
    <m/>
    <s v="KOTAK M BANK - NRE"/>
    <m/>
    <x v="3"/>
    <n v="99994.995690000011"/>
    <s v="DK"/>
  </r>
  <r>
    <s v="79931281531"/>
    <s v="INF769K01BI1"/>
    <d v="2024-12-02T00:00:00"/>
    <n v="15.006"/>
    <n v="166.58699999999999"/>
    <m/>
    <s v="KOTAK M BANK - NRE"/>
    <s v="SIP"/>
    <x v="6"/>
    <n v="2499.8045219999999"/>
    <s v="DK"/>
  </r>
  <r>
    <s v="79931281531"/>
    <s v="INF769K01BI1"/>
    <d v="2024-12-05T00:00:00"/>
    <n v="14.816000000000001"/>
    <n v="169.06700000000001"/>
    <m/>
    <s v="KOTAK M BANK - NRE"/>
    <s v="SIP"/>
    <x v="6"/>
    <n v="2504.8966720000003"/>
    <s v="DK"/>
  </r>
  <r>
    <s v="79931281531"/>
    <s v="INF769K01BI1"/>
    <d v="2024-12-09T00:00:00"/>
    <n v="58.9"/>
    <n v="169.77099999999999"/>
    <m/>
    <s v="KOTAK M BANK - NRE"/>
    <s v="SIP"/>
    <x v="6"/>
    <n v="9999.5118999999995"/>
    <s v="DK"/>
  </r>
  <r>
    <n v="19915197402"/>
    <s v="INF760K01EI4"/>
    <d v="2024-12-10T00:00:00"/>
    <n v="66.998000000000005"/>
    <n v="298.5"/>
    <m/>
    <s v="DK HDFC NRO"/>
    <s v="DK Long Term"/>
    <x v="4"/>
    <n v="19998.903000000002"/>
    <s v="DK"/>
  </r>
  <r>
    <s v="79954053351"/>
    <s v="INF769K01DM9"/>
    <d v="2024-12-10T00:00:00"/>
    <n v="636.36699999999996"/>
    <n v="54.997"/>
    <m/>
    <s v="DK HDFC NRO"/>
    <s v="Tax Saving"/>
    <x v="11"/>
    <n v="34998.275899"/>
    <s v="DK"/>
  </r>
  <r>
    <s v="91093138511"/>
    <s v="INF846K01K35"/>
    <d v="2024-12-11T00:00:00"/>
    <n v="23.818000000000001"/>
    <n v="125.95"/>
    <m/>
    <s v="KOTAK M BANK - NRE"/>
    <s v="SIP"/>
    <x v="9"/>
    <n v="2999.8771000000002"/>
    <s v="DK"/>
  </r>
  <r>
    <s v="19915197402"/>
    <s v="INF760K01JW4"/>
    <d v="2024-12-11T00:00:00"/>
    <n v="51.018000000000001"/>
    <n v="19.600000000000001"/>
    <m/>
    <s v="DK HDFC NRO"/>
    <s v="SIP"/>
    <x v="10"/>
    <n v="999.95280000000014"/>
    <s v="DK"/>
  </r>
  <r>
    <n v="79931510915"/>
    <s v="INF769K01BI1"/>
    <d v="2024-12-11T00:00:00"/>
    <n v="11.839"/>
    <n v="168.923"/>
    <m/>
    <s v="KOTAK M BANK - NRE"/>
    <s v="SIP"/>
    <x v="6"/>
    <n v="1999.8793970000002"/>
    <s v="DK"/>
  </r>
  <r>
    <s v="499183354147"/>
    <s v="INF204K01K15"/>
    <d v="2024-12-11T00:00:00"/>
    <n v="24.552"/>
    <n v="203.8399"/>
    <m/>
    <s v="DK HDFC NRO"/>
    <s v="SIP"/>
    <x v="1"/>
    <n v="5004.6772247999997"/>
    <s v="DK"/>
  </r>
  <r>
    <s v="10510544"/>
    <s v="INF879O01027"/>
    <d v="2024-12-12T00:00:00"/>
    <n v="2242.29"/>
    <n v="89.199200000000005"/>
    <m/>
    <s v="KOTAK M BANK - NRE"/>
    <m/>
    <x v="3"/>
    <n v="200010.47416800002"/>
    <s v="DK"/>
  </r>
  <r>
    <s v="10510544"/>
    <s v="INF879O01027"/>
    <d v="2024-12-16T00:00:00"/>
    <n v="557.73299999999995"/>
    <n v="89.644099999999995"/>
    <m/>
    <s v="KOTAK M BANK - NRE"/>
    <m/>
    <x v="3"/>
    <n v="49997.472825299992"/>
    <s v="DK"/>
  </r>
  <r>
    <s v="10510544"/>
    <s v="INF879O01027"/>
    <d v="2024-12-17T00:00:00"/>
    <n v="1121.789"/>
    <n v="89.138900000000007"/>
    <m/>
    <s v="KOTAK M BANK - NRE"/>
    <m/>
    <x v="3"/>
    <n v="99995.037492100004"/>
    <s v="DK"/>
  </r>
  <r>
    <s v="79936204371"/>
    <s v="INF769K01BI1"/>
    <d v="2024-12-18T00:00:00"/>
    <n v="15.129"/>
    <n v="165.23400000000001"/>
    <m/>
    <s v="RS SBI"/>
    <s v="SIP"/>
    <x v="6"/>
    <n v="2499.825186"/>
    <s v="RS"/>
  </r>
  <r>
    <s v="18917658"/>
    <s v="INF200K01T51"/>
    <d v="2024-12-19T00:00:00"/>
    <n v="14.41"/>
    <n v="208.1814"/>
    <m/>
    <s v="RS SBI"/>
    <s v="SIP"/>
    <x v="7"/>
    <n v="2999.8939740000001"/>
    <s v="RS"/>
  </r>
  <r>
    <s v="10510544"/>
    <s v="INF879O01027"/>
    <d v="2024-12-19T00:00:00"/>
    <n v="852.71"/>
    <n v="87.950400000000002"/>
    <n v="25750575009"/>
    <s v="KOTAK M BANK - NRE"/>
    <m/>
    <x v="3"/>
    <n v="74996.185584000006"/>
    <s v="DK"/>
  </r>
  <r>
    <n v="79931510915"/>
    <s v="INF769K01BI1"/>
    <d v="2024-12-23T00:00:00"/>
    <n v="18.440000000000001"/>
    <n v="162.684"/>
    <m/>
    <s v="KOTAK M BANK - NRE"/>
    <s v="SIP"/>
    <x v="6"/>
    <n v="2999.8929600000001"/>
    <s v="DK"/>
  </r>
  <r>
    <s v="91093138814"/>
    <s v="INF846K01K35"/>
    <d v="2024-12-25T00:00:00"/>
    <n v="122.08"/>
    <n v="40.954999999999998"/>
    <m/>
    <s v="KOTAK M BANK - NRE"/>
    <s v="JAG SIP"/>
    <x v="9"/>
    <n v="4999.7864"/>
    <s v="DK"/>
  </r>
  <r>
    <s v="91093138965"/>
    <s v="INF846K01K35"/>
    <d v="2024-12-25T00:00:00"/>
    <n v="40.954999999999998"/>
    <n v="122.08"/>
    <m/>
    <s v="KOTAK M BANK - NRE"/>
    <s v="DIV SIP"/>
    <x v="9"/>
    <n v="4999.7864"/>
    <s v="DK"/>
  </r>
  <r>
    <n v="79944037504"/>
    <s v="INF769K01BI1"/>
    <d v="2024-12-26T00:00:00"/>
    <n v="30.722999999999999"/>
    <n v="162.89699999999999"/>
    <m/>
    <s v="KOTAK M BANK - NRE"/>
    <s v="SIP"/>
    <x v="6"/>
    <n v="5004.6845309999999"/>
    <s v="DK"/>
  </r>
  <r>
    <s v="10510544"/>
    <s v="INF879O01027"/>
    <d v="2024-12-30T00:00:00"/>
    <n v="852.61"/>
    <n v="87.960400000000007"/>
    <n v="25751803247"/>
    <s v="KOTAK M BANK - NRE"/>
    <m/>
    <x v="3"/>
    <n v="74995.916644000012"/>
    <s v="DK"/>
  </r>
  <r>
    <s v="79931281531"/>
    <s v="INF769K01BI1"/>
    <d v="2025-01-01T00:00:00"/>
    <n v="15.218"/>
    <n v="164.267"/>
    <m/>
    <s v="KOTAK M BANK - NRE"/>
    <s v="SIP"/>
    <x v="6"/>
    <n v="2499.8152059999998"/>
    <s v="DK"/>
  </r>
  <r>
    <s v="79931281531"/>
    <s v="INF769K01BI1"/>
    <d v="2025-01-06T00:00:00"/>
    <n v="15.606"/>
    <n v="160.50700000000001"/>
    <m/>
    <s v="KOTAK M BANK - NRE"/>
    <s v="SIP"/>
    <x v="6"/>
    <n v="2504.8722419999999"/>
    <s v="DK"/>
  </r>
  <r>
    <s v="79931281531"/>
    <s v="INF769K01BI1"/>
    <d v="2025-01-07T00:00:00"/>
    <n v="62.695999999999998"/>
    <n v="159.49100000000001"/>
    <m/>
    <s v="KOTAK M BANK - NRE"/>
    <s v="SIP"/>
    <x v="6"/>
    <n v="9999.4477360000001"/>
    <s v="DK"/>
  </r>
  <r>
    <s v="4751368"/>
    <s v="INF174K01LF9"/>
    <d v="2025-01-07T00:00:00"/>
    <n v="8748.2520000000004"/>
    <n v="378.29199999999997"/>
    <m/>
    <s v="DK HDFC NRO"/>
    <s v="Switch-From Kotak Stnd Muticap"/>
    <x v="8"/>
    <n v="3309393.7455839999"/>
    <s v="DK"/>
  </r>
  <r>
    <s v="910111376902"/>
    <s v="INF846K01K35"/>
    <d v="2025-01-07T00:00:00"/>
    <n v="1551.297"/>
    <n v="122.8"/>
    <s v="Lateral Shift In"/>
    <s v="RS SBI"/>
    <s v="Moved from Axis Focus to Axis Small Cap"/>
    <x v="9"/>
    <n v="190499.27160000001"/>
    <s v="RS"/>
  </r>
  <r>
    <s v="91093138814"/>
    <s v="INF846K01K35"/>
    <d v="2025-01-09T00:00:00"/>
    <n v="120.6"/>
    <n v="41.457000000000001"/>
    <m/>
    <s v="KOTAK M BANK - NRE"/>
    <s v="JAG SIP"/>
    <x v="9"/>
    <n v="4999.7141999999994"/>
    <s v="DK"/>
  </r>
  <r>
    <s v="91093138965"/>
    <s v="INF846K01K35"/>
    <d v="2025-01-09T00:00:00"/>
    <n v="41.457000000000001"/>
    <n v="120.6"/>
    <m/>
    <s v="KOTAK M BANK - NRE"/>
    <s v="DIV SIP"/>
    <x v="9"/>
    <n v="4999.7141999999994"/>
    <s v="DK"/>
  </r>
  <r>
    <s v="91093138511"/>
    <s v="INF846K01K35"/>
    <d v="2025-01-13T00:00:00"/>
    <n v="25.948"/>
    <n v="115.61"/>
    <m/>
    <s v="KOTAK M BANK - NRE"/>
    <s v="SIP"/>
    <x v="9"/>
    <n v="2999.8482800000002"/>
    <s v="DK"/>
  </r>
  <r>
    <s v="19915197402"/>
    <s v="INF760K01JW4"/>
    <d v="2025-01-13T00:00:00"/>
    <n v="55.276000000000003"/>
    <n v="18.09"/>
    <m/>
    <s v="DK HDFC NRO"/>
    <s v="SIP"/>
    <x v="10"/>
    <n v="999.94284000000005"/>
    <s v="DK"/>
  </r>
  <r>
    <n v="79931510915"/>
    <s v="INF769K01BI1"/>
    <d v="2025-01-13T00:00:00"/>
    <n v="12.996"/>
    <n v="153.88300000000001"/>
    <m/>
    <s v="KOTAK M BANK - NRE"/>
    <s v="SIP"/>
    <x v="6"/>
    <n v="1999.8634680000002"/>
    <s v="DK"/>
  </r>
  <r>
    <s v="499183354147"/>
    <s v="INF204K01K15"/>
    <d v="2025-01-13T00:00:00"/>
    <n v="27.951000000000001"/>
    <n v="179.05699999999999"/>
    <m/>
    <s v="DK HDFC NRO"/>
    <s v="SIP"/>
    <x v="1"/>
    <n v="5004.8222070000002"/>
    <s v="DK"/>
  </r>
  <r>
    <s v="18917658"/>
    <s v="INF200K01T51"/>
    <d v="2025-01-20T00:00:00"/>
    <n v="15.635"/>
    <n v="191.8699"/>
    <m/>
    <s v="RS SBI"/>
    <s v="SIP"/>
    <x v="7"/>
    <n v="2999.8858865000002"/>
    <s v="RS"/>
  </r>
  <r>
    <s v="79936204371"/>
    <s v="INF769K01BI1"/>
    <d v="2025-01-20T00:00:00"/>
    <n v="15.949"/>
    <n v="156.745"/>
    <m/>
    <s v="RS SBI"/>
    <s v="SIP"/>
    <x v="6"/>
    <n v="2499.9260050000003"/>
    <s v="RS"/>
  </r>
  <r>
    <n v="79931510915"/>
    <s v="INF769K01BI1"/>
    <d v="2025-01-22T00:00:00"/>
    <n v="19.382000000000001"/>
    <n v="154.773"/>
    <m/>
    <s v="KOTAK M BANK - NRE"/>
    <s v="SIP"/>
    <x v="6"/>
    <n v="2999.8102860000004"/>
    <s v="DK"/>
  </r>
  <r>
    <s v="91093138814"/>
    <s v="INF846K01K35"/>
    <d v="2025-01-27T00:00:00"/>
    <n v="109.25"/>
    <n v="45.764000000000003"/>
    <m/>
    <s v="KOTAK M BANK - NRE"/>
    <s v="JAG SIP"/>
    <x v="9"/>
    <n v="4999.7170000000006"/>
    <s v="DK"/>
  </r>
  <r>
    <s v="91093138965"/>
    <s v="INF846K01K35"/>
    <d v="2025-01-27T00:00:00"/>
    <n v="45.764000000000003"/>
    <n v="109.25"/>
    <m/>
    <s v="KOTAK M BANK - NRE"/>
    <s v="DIV SIP"/>
    <x v="9"/>
    <n v="4999.7170000000006"/>
    <s v="DK"/>
  </r>
  <r>
    <n v="79944037504"/>
    <s v="INF769K01BI1"/>
    <d v="2025-01-27T00:00:00"/>
    <n v="33.503999999999998"/>
    <n v="149.37700000000001"/>
    <m/>
    <s v="KOTAK M BANK - NRE"/>
    <s v="SIP"/>
    <x v="6"/>
    <n v="5004.7270079999998"/>
    <s v="DK"/>
  </r>
  <r>
    <s v="79931281531"/>
    <s v="INF769K01BI1"/>
    <d v="2025-02-03T00:00:00"/>
    <n v="16.172999999999998"/>
    <n v="154.56899999999999"/>
    <m/>
    <s v="KOTAK M BANK - NRE"/>
    <s v="SIP"/>
    <x v="6"/>
    <n v="2499.8444369999997"/>
    <s v="DK"/>
  </r>
  <r>
    <s v="79931281531"/>
    <s v="INF769K01BI1"/>
    <d v="2025-02-05T00:00:00"/>
    <n v="16.216000000000001"/>
    <n v="154.46799999999999"/>
    <m/>
    <s v="KOTAK M BANK - NRE"/>
    <s v="SIP"/>
    <x v="6"/>
    <n v="2504.8530879999998"/>
    <s v="DK"/>
  </r>
  <r>
    <s v="79931281531"/>
    <s v="INF769K01BI1"/>
    <d v="2025-02-07T00:00:00"/>
    <n v="65.787000000000006"/>
    <n v="151.99799999999999"/>
    <m/>
    <s v="KOTAK M BANK - NRE"/>
    <s v="SIP"/>
    <x v="6"/>
    <n v="9999.4924260000007"/>
    <s v="DK"/>
  </r>
  <r>
    <s v="4751368"/>
    <s v="INF174K01LF9"/>
    <d v="2025-02-07T00:00:00"/>
    <n v="32.131"/>
    <n v="357.89600000000002"/>
    <m/>
    <s v="DK HDFC NRO"/>
    <m/>
    <x v="8"/>
    <n v="11499.556376"/>
    <s v="DK"/>
  </r>
  <r>
    <s v="79954053351"/>
    <s v="INF769K01DM9"/>
    <d v="2025-02-10T00:00:00"/>
    <n v="100.065"/>
    <n v="49.965000000000003"/>
    <m/>
    <s v="DK HDFC NRO"/>
    <s v="Tax Saving"/>
    <x v="11"/>
    <n v="4999.7477250000002"/>
    <s v="DK"/>
  </r>
  <r>
    <s v="4751368"/>
    <s v="INF174K01LF9"/>
    <d v="2025-02-10T00:00:00"/>
    <n v="25.486000000000001"/>
    <n v="353.12099999999998"/>
    <m/>
    <s v="DK HDFC NRO"/>
    <m/>
    <x v="8"/>
    <n v="8999.6418059999996"/>
    <s v="DK"/>
  </r>
  <r>
    <s v="91093138511"/>
    <s v="INF846K01K35"/>
    <d v="2025-02-11T00:00:00"/>
    <n v="27.456"/>
    <n v="109.26"/>
    <m/>
    <s v="KOTAK M BANK - NRE"/>
    <s v="SIP"/>
    <x v="9"/>
    <n v="2999.84256"/>
    <s v="DK"/>
  </r>
  <r>
    <s v="19915197402"/>
    <s v="INF760K01JC6"/>
    <d v="2025-02-11T00:00:00"/>
    <n v="392.03500000000003"/>
    <n v="38.26"/>
    <m/>
    <s v="DK HDFC NRO"/>
    <s v="Sonarpure Flat sell"/>
    <x v="12"/>
    <n v="14999.259099999999"/>
    <s v="DK"/>
  </r>
  <r>
    <s v="19915197402"/>
    <s v="INF760K01JW4"/>
    <d v="2025-02-11T00:00:00"/>
    <n v="57.106999999999999"/>
    <n v="17.510000000000002"/>
    <m/>
    <s v="DK HDFC NRO"/>
    <s v="SIP"/>
    <x v="10"/>
    <n v="999.94357000000002"/>
    <s v="DK"/>
  </r>
  <r>
    <s v="79954053351"/>
    <s v="INF769K01DM9"/>
    <d v="2025-02-11T00:00:00"/>
    <n v="102.065"/>
    <n v="48.985999999999997"/>
    <m/>
    <s v="DK HDFC NRO"/>
    <s v="Tax Saving"/>
    <x v="11"/>
    <n v="4999.7560899999999"/>
    <s v="DK"/>
  </r>
  <r>
    <n v="79931510915"/>
    <s v="INF769K01BI1"/>
    <d v="2025-02-11T00:00:00"/>
    <n v="13.51"/>
    <n v="148.02600000000001"/>
    <m/>
    <s v="KOTAK M BANK - NRE"/>
    <s v="SIP"/>
    <x v="6"/>
    <n v="1999.8312600000002"/>
    <s v="DK"/>
  </r>
  <r>
    <s v="499183354147"/>
    <s v="INF204K01K15"/>
    <d v="2025-02-11T00:00:00"/>
    <n v="29.736999999999998"/>
    <n v="168.30080000000001"/>
    <m/>
    <s v="DK HDFC NRO"/>
    <s v="SIP"/>
    <x v="1"/>
    <n v="5004.7608896000002"/>
    <s v="DK"/>
  </r>
  <r>
    <s v="4751368"/>
    <s v="INF174K01LF9"/>
    <d v="2025-02-11T00:00:00"/>
    <n v="57.808999999999997"/>
    <n v="345.95"/>
    <m/>
    <s v="DK HDFC NRO"/>
    <m/>
    <x v="8"/>
    <n v="19999.023549999998"/>
    <s v="DK"/>
  </r>
  <r>
    <s v="79936204371"/>
    <s v="INF769K01BI1"/>
    <d v="2025-02-18T00:00:00"/>
    <n v="16.888999999999999"/>
    <n v="148.02199999999999"/>
    <m/>
    <s v="RS SBI"/>
    <s v="SIP"/>
    <x v="6"/>
    <n v="2499.9435579999999"/>
    <s v="RS"/>
  </r>
  <r>
    <s v="18917658"/>
    <s v="INF200K01T51"/>
    <d v="2025-02-20T00:00:00"/>
    <n v="17.268000000000001"/>
    <n v="173.7251"/>
    <m/>
    <s v="RS SBI"/>
    <s v="SIP"/>
    <x v="7"/>
    <n v="2999.8850268000001"/>
    <s v="RS"/>
  </r>
  <r>
    <n v="79931510915"/>
    <s v="INF769K01BI1"/>
    <d v="2025-02-24T00:00:00"/>
    <n v="20.72"/>
    <n v="144.78200000000001"/>
    <m/>
    <s v="KOTAK M BANK - NRE"/>
    <s v="SIP"/>
    <x v="6"/>
    <n v="2999.8830400000002"/>
    <s v="DK"/>
  </r>
  <r>
    <s v="91093138814"/>
    <s v="INF846K01K35"/>
    <d v="2025-02-25T00:00:00"/>
    <n v="103.98"/>
    <n v="48.084000000000003"/>
    <m/>
    <s v="KOTAK M BANK - NRE"/>
    <s v="JAG SIP"/>
    <x v="9"/>
    <n v="4999.7743200000004"/>
    <s v="DK"/>
  </r>
  <r>
    <s v="91093138965"/>
    <s v="INF846K01K35"/>
    <d v="2025-02-25T00:00:00"/>
    <n v="48.084000000000003"/>
    <n v="103.98"/>
    <m/>
    <s v="KOTAK M BANK - NRE"/>
    <s v="DIV SIP"/>
    <x v="9"/>
    <n v="4999.7743200000004"/>
    <s v="DK"/>
  </r>
  <r>
    <n v="79944037504"/>
    <s v="INF769K01BI1"/>
    <d v="2025-02-25T00:00:00"/>
    <n v="34.781999999999996"/>
    <n v="143.88999999999999"/>
    <m/>
    <s v="KOTAK M BANK - NRE"/>
    <s v="SIP"/>
    <x v="6"/>
    <n v="5004.7819799999988"/>
    <s v="DK"/>
  </r>
  <r>
    <s v="79931281531"/>
    <s v="INF769K01BI1"/>
    <d v="2025-03-03T00:00:00"/>
    <n v="17.611999999999998"/>
    <n v="141.94499999999999"/>
    <m/>
    <s v="KOTAK M BANK - NRE"/>
    <s v="SIP"/>
    <x v="6"/>
    <n v="2499.9353399999995"/>
    <s v="DK"/>
  </r>
  <r>
    <s v="79931281531"/>
    <s v="INF769K01BI1"/>
    <d v="2025-03-05T00:00:00"/>
    <n v="17.100999999999999"/>
    <n v="146.47300000000001"/>
    <m/>
    <s v="KOTAK M BANK - NRE"/>
    <s v="SIP"/>
    <x v="6"/>
    <n v="2504.834773"/>
    <s v="DK"/>
  </r>
  <r>
    <s v="79931281531"/>
    <s v="INF769K01BI1"/>
    <d v="2025-03-07T00:00:00"/>
    <n v="69.099000000000004"/>
    <n v="144.71199999999999"/>
    <m/>
    <s v="KOTAK M BANK - NRE"/>
    <s v="SIP"/>
    <x v="6"/>
    <n v="9999.4544879999994"/>
    <s v="DK"/>
  </r>
  <r>
    <s v="91093138511"/>
    <s v="INF846K01K35"/>
    <d v="2025-03-11T00:00:00"/>
    <n v="28.594999999999999"/>
    <n v="104.91"/>
    <m/>
    <s v="KOTAK M BANK - NRE"/>
    <s v="SIP"/>
    <x v="9"/>
    <n v="2999.9014499999998"/>
    <s v="DK"/>
  </r>
  <r>
    <s v="19915197402"/>
    <s v="INF760K01JW4"/>
    <d v="2025-03-11T00:00:00"/>
    <n v="58.750999999999998"/>
    <n v="17.02"/>
    <m/>
    <s v="DK HDFC NRO"/>
    <s v="SIP"/>
    <x v="10"/>
    <n v="999.94201999999996"/>
    <s v="DK"/>
  </r>
  <r>
    <n v="79931510915"/>
    <s v="INF769K01BI1"/>
    <d v="2025-03-11T00:00:00"/>
    <n v="13.831"/>
    <n v="144.6"/>
    <m/>
    <s v="KOTAK M BANK - NRE"/>
    <s v="SIP"/>
    <x v="6"/>
    <n v="1999.9625999999998"/>
    <s v="DK"/>
  </r>
  <r>
    <s v="499183354147"/>
    <s v="INF204K01K15"/>
    <d v="2025-03-11T00:00:00"/>
    <n v="31.213000000000001"/>
    <n v="160.34399999999999"/>
    <m/>
    <s v="DK HDFC NRO"/>
    <s v="SIP"/>
    <x v="1"/>
    <n v="5004.8172720000002"/>
    <s v="DK"/>
  </r>
  <r>
    <s v="18917658"/>
    <s v="INF200K01T51"/>
    <d v="2025-03-19T00:00:00"/>
    <n v="17.018000000000001"/>
    <n v="176.27699999999999"/>
    <m/>
    <s v="RS SBI"/>
    <s v="SIP"/>
    <x v="7"/>
    <n v="2999.8819859999999"/>
    <s v="RS"/>
  </r>
  <r>
    <s v="79936204371"/>
    <s v="INF769K01BI1"/>
    <d v="2025-03-19T00:00:00"/>
    <n v="16.725000000000001"/>
    <n v="149.46899999999999"/>
    <m/>
    <s v="RS SBI"/>
    <s v="SIP"/>
    <x v="6"/>
    <n v="2499.869025"/>
    <s v="RS"/>
  </r>
  <r>
    <n v="79931510915"/>
    <s v="INF769K01BI1"/>
    <d v="2025-03-24T00:00:00"/>
    <n v="19.603999999999999"/>
    <n v="153.023"/>
    <m/>
    <s v="KOTAK M BANK - NRE"/>
    <s v="SIP"/>
    <x v="6"/>
    <n v="2999.8628919999996"/>
    <s v="DK"/>
  </r>
  <r>
    <s v="91093138814"/>
    <s v="INF846K01K35"/>
    <d v="2025-03-25T00:00:00"/>
    <n v="109.63"/>
    <n v="45.606000000000002"/>
    <m/>
    <s v="KOTAK M BANK - NRE"/>
    <s v="JAG SIP"/>
    <x v="9"/>
    <n v="4999.7857800000002"/>
    <s v="DK"/>
  </r>
  <r>
    <s v="91093138965"/>
    <s v="INF846K01K35"/>
    <d v="2025-03-25T00:00:00"/>
    <n v="45.606000000000002"/>
    <n v="109.63"/>
    <m/>
    <s v="KOTAK M BANK - NRE"/>
    <s v="DIV SIP"/>
    <x v="9"/>
    <n v="4999.7857800000002"/>
    <s v="DK"/>
  </r>
  <r>
    <n v="79944037504"/>
    <s v="INF769K01BI1"/>
    <d v="2025-03-25T00:00:00"/>
    <n v="32.954999999999998"/>
    <n v="151.86600000000001"/>
    <m/>
    <s v="KOTAK M BANK - NRE"/>
    <s v="SIP"/>
    <x v="6"/>
    <n v="5004.7440299999998"/>
    <s v="DK"/>
  </r>
  <r>
    <s v="19915197402"/>
    <s v="INF760K01JC6"/>
    <d v="2025-04-01T00:00:00"/>
    <n v="1594.5519999999999"/>
    <n v="37.630000000000003"/>
    <m/>
    <s v="DK HDFC NRO"/>
    <s v="Sonarpure Flat sell"/>
    <x v="12"/>
    <n v="60002.991759999997"/>
    <s v="DK"/>
  </r>
  <r>
    <s v="79931281531"/>
    <s v="INF769K01BI1"/>
    <d v="2025-04-01T00:00:00"/>
    <n v="16.434000000000001"/>
    <n v="152.113"/>
    <m/>
    <s v="KOTAK M BANK - NRE"/>
    <s v="SIP"/>
    <x v="6"/>
    <n v="2499.8250419999999"/>
    <s v="DK"/>
  </r>
  <r>
    <s v="19915197402"/>
    <s v="INF760K01JC6"/>
    <d v="2025-04-02T00:00:00"/>
    <n v="1316.4169999999999"/>
    <n v="37.979999999999997"/>
    <m/>
    <s v="DK HDFC NRO"/>
    <s v="Sonarpure Flat sell"/>
    <x v="12"/>
    <n v="49997.51765999999"/>
    <s v="DK"/>
  </r>
  <r>
    <s v="79931281531"/>
    <s v="INF769K01BI1"/>
    <d v="2025-04-07T00:00:00"/>
    <n v="17.155000000000001"/>
    <n v="146.01400000000001"/>
    <m/>
    <s v="KOTAK M BANK - NRE"/>
    <s v="SIP"/>
    <x v="6"/>
    <n v="2504.8701700000001"/>
    <s v="DK"/>
  </r>
  <r>
    <s v="79931281531"/>
    <s v="INF769K01BI1"/>
    <d v="2025-04-07T00:00:00"/>
    <n v="68.483000000000004"/>
    <n v="146.01400000000001"/>
    <m/>
    <s v="KOTAK M BANK - NRE"/>
    <s v="SIP"/>
    <x v="6"/>
    <n v="9999.4767620000021"/>
    <s v="DK"/>
  </r>
  <r>
    <s v="91093138511"/>
    <s v="INF846K01K35"/>
    <d v="2025-04-11T00:00:00"/>
    <n v="27.04"/>
    <n v="110.94"/>
    <m/>
    <s v="KOTAK M BANK - NRE"/>
    <s v="SIP"/>
    <x v="9"/>
    <n v="2999.8175999999999"/>
    <s v="DK"/>
  </r>
  <r>
    <s v="19915197402"/>
    <s v="INF760K01JW4"/>
    <d v="2025-04-11T00:00:00"/>
    <n v="55.677"/>
    <n v="17.96"/>
    <m/>
    <s v="DK HDFC NRO"/>
    <s v="SIP"/>
    <x v="10"/>
    <n v="999.95892000000003"/>
    <s v="DK"/>
  </r>
  <r>
    <n v="79931510915"/>
    <s v="INF769K01BI1"/>
    <d v="2025-04-11T00:00:00"/>
    <n v="13.215999999999999"/>
    <n v="151.32300000000001"/>
    <m/>
    <s v="KOTAK M BANK - NRE"/>
    <s v="SIP"/>
    <x v="6"/>
    <n v="1999.8847679999999"/>
    <s v="DK"/>
  </r>
  <r>
    <s v="79936204371"/>
    <s v="INF769K01BI1"/>
    <d v="2025-04-18T00:00:00"/>
    <n v="15.942"/>
    <n v="156.81299999999999"/>
    <m/>
    <s v="RS SBI"/>
    <s v="SIP"/>
    <x v="6"/>
    <n v="2499.9128459999997"/>
    <s v="RS"/>
  </r>
  <r>
    <s v="18917658"/>
    <s v="INF200K01T51"/>
    <d v="2025-04-21T00:00:00"/>
    <n v="16.119"/>
    <n v="186.1086"/>
    <m/>
    <s v="RS SBI"/>
    <s v="SIP"/>
    <x v="7"/>
    <n v="2999.8845234"/>
    <s v="RS"/>
  </r>
  <r>
    <n v="79931510915"/>
    <s v="INF769K01BI1"/>
    <d v="2025-04-22T00:00:00"/>
    <n v="18.936"/>
    <n v="158.422"/>
    <m/>
    <s v="KOTAK M BANK - NRE"/>
    <s v="SIP"/>
    <x v="6"/>
    <n v="2999.8789919999999"/>
    <s v="DK"/>
  </r>
  <r>
    <s v="91093138814"/>
    <s v="INF846K01K35"/>
    <d v="2025-04-25T00:00:00"/>
    <n v="113.18"/>
    <n v="44.174999999999997"/>
    <m/>
    <s v="KOTAK M BANK - NRE"/>
    <s v="JAG SIP"/>
    <x v="9"/>
    <n v="4999.7264999999998"/>
    <s v="DK"/>
  </r>
  <r>
    <s v="91093138965"/>
    <s v="INF846K01K35"/>
    <d v="2025-04-25T00:00:00"/>
    <n v="44.174999999999997"/>
    <n v="113.18"/>
    <m/>
    <s v="KOTAK M BANK - NRE"/>
    <s v="DIV SIP"/>
    <x v="9"/>
    <n v="4999.7264999999998"/>
    <s v="DK"/>
  </r>
  <r>
    <n v="79944037504"/>
    <s v="INF769K01BI1"/>
    <d v="2025-04-25T00:00:00"/>
    <n v="31.748999999999999"/>
    <n v="157.63300000000001"/>
    <m/>
    <s v="KOTAK M BANK - NRE"/>
    <s v="SIP"/>
    <x v="6"/>
    <n v="5004.6901170000001"/>
    <s v="DK"/>
  </r>
  <r>
    <s v="79931281531"/>
    <s v="INF769K01BI1"/>
    <d v="2025-05-02T00:00:00"/>
    <n v="15.948"/>
    <n v="156.75"/>
    <m/>
    <s v="KOTAK M BANK - NRE"/>
    <s v="SIP"/>
    <x v="6"/>
    <n v="2499.8490000000002"/>
    <s v="DK"/>
  </r>
  <r>
    <s v="79931281531"/>
    <s v="INF769K01BI1"/>
    <d v="2025-05-05T00:00:00"/>
    <n v="16.050999999999998"/>
    <n v="156.05500000000001"/>
    <m/>
    <s v="KOTAK M BANK - NRE"/>
    <s v="SIP"/>
    <x v="6"/>
    <n v="2504.8388049999999"/>
    <s v="DK"/>
  </r>
  <r>
    <s v="79931281531"/>
    <s v="INF769K01BI1"/>
    <d v="2025-05-07T00:00:00"/>
    <n v="64.373999999999995"/>
    <n v="155.334"/>
    <m/>
    <s v="KOTAK M BANK - NRE"/>
    <s v="SIP"/>
    <x v="6"/>
    <n v="9999.4709160000002"/>
    <s v="DK"/>
  </r>
  <r>
    <s v="91093138511"/>
    <s v="INF846K01K35"/>
    <d v="2025-05-12T00:00:00"/>
    <n v="26.111000000000001"/>
    <n v="114.89"/>
    <m/>
    <s v="KOTAK M BANK - NRE"/>
    <s v="SIP"/>
    <x v="9"/>
    <n v="2999.8927899999999"/>
    <s v="DK"/>
  </r>
  <r>
    <s v="19915197402"/>
    <s v="INF760K01JW4"/>
    <d v="2025-05-12T00:00:00"/>
    <n v="53.048000000000002"/>
    <n v="18.850000000000001"/>
    <m/>
    <s v="DK HDFC NRO"/>
    <s v="SIP"/>
    <x v="10"/>
    <n v="999.95480000000009"/>
    <s v="DK"/>
  </r>
  <r>
    <n v="79931510915"/>
    <s v="INF769K01BI1"/>
    <d v="2025-05-12T00:00:00"/>
    <n v="12.536"/>
    <n v="159.53800000000001"/>
    <m/>
    <s v="KOTAK M BANK - NRE"/>
    <s v="SIP"/>
    <x v="6"/>
    <n v="1999.9683680000001"/>
    <s v="DK"/>
  </r>
  <r>
    <s v="18917658"/>
    <s v="INF200K01T51"/>
    <d v="2025-05-19T00:00:00"/>
    <n v="15.624000000000001"/>
    <n v="192.00149999999999"/>
    <m/>
    <s v="RS SBI"/>
    <s v="SIP"/>
    <x v="7"/>
    <n v="2999.8314359999999"/>
    <s v="RS"/>
  </r>
  <r>
    <s v="79936204371"/>
    <s v="INF769K01BI1"/>
    <d v="2025-05-19T00:00:00"/>
    <n v="15.307"/>
    <n v="163.31100000000001"/>
    <m/>
    <s v="RS SBI"/>
    <s v="SIP"/>
    <x v="6"/>
    <n v="2499.801477"/>
    <s v="RS"/>
  </r>
  <r>
    <n v="79931510915"/>
    <s v="INF769K01BI1"/>
    <d v="2025-05-22T00:00:00"/>
    <n v="18.384"/>
    <n v="163.178"/>
    <m/>
    <s v="KOTAK M BANK - NRE"/>
    <s v="SIP"/>
    <x v="6"/>
    <n v="2999.8643520000001"/>
    <s v="DK"/>
  </r>
  <r>
    <s v="91093138814"/>
    <s v="INF846K01K35"/>
    <d v="2025-05-26T00:00:00"/>
    <n v="118.88"/>
    <n v="42.057000000000002"/>
    <m/>
    <s v="KOTAK M BANK - NRE"/>
    <s v="JAG SIP"/>
    <x v="9"/>
    <n v="4999.7361600000004"/>
    <s v="DK"/>
  </r>
  <r>
    <s v="91093138965"/>
    <s v="INF846K01K35"/>
    <d v="2025-05-26T00:00:00"/>
    <n v="42.057000000000002"/>
    <n v="118.88"/>
    <m/>
    <s v="KOTAK M BANK - NRE"/>
    <s v="DIV SIP"/>
    <x v="9"/>
    <n v="4999.7361600000004"/>
    <s v="DK"/>
  </r>
  <r>
    <n v="79944037504"/>
    <s v="INF769K01BI1"/>
    <d v="2025-05-26T00:00:00"/>
    <n v="30.626000000000001"/>
    <n v="163.41300000000001"/>
    <m/>
    <s v="KOTAK M BANK - NRE"/>
    <s v="SIP"/>
    <x v="6"/>
    <n v="5004.6865380000008"/>
    <s v="DK"/>
  </r>
  <r>
    <s v="79931281531"/>
    <s v="INF769K01BI1"/>
    <d v="2025-06-02T00:00:00"/>
    <n v="15.295999999999999"/>
    <n v="163.43199999999999"/>
    <m/>
    <s v="KOTAK M BANK - NRE"/>
    <s v="SIP"/>
    <x v="6"/>
    <n v="2499.8558719999996"/>
    <s v="DK"/>
  </r>
  <r>
    <s v="79931281531"/>
    <s v="INF769K01BI1"/>
    <d v="2025-06-05T00:00:00"/>
    <n v="14.99"/>
    <n v="167.10300000000001"/>
    <m/>
    <s v="KOTAK M BANK - NRE"/>
    <s v="SIP"/>
    <x v="6"/>
    <n v="2504.8739700000001"/>
    <s v="DK"/>
  </r>
  <r>
    <s v="79931281531"/>
    <s v="INF769K01BI1"/>
    <d v="2025-06-09T00:00:00"/>
    <n v="59.280999999999999"/>
    <n v="168.679"/>
    <m/>
    <s v="KOTAK M BANK - NRE"/>
    <s v="SIP"/>
    <x v="6"/>
    <n v="9999.4597990000002"/>
    <s v="DK"/>
  </r>
  <r>
    <s v="91093138511"/>
    <s v="INF846K01K35"/>
    <d v="2025-06-11T00:00:00"/>
    <n v="24.620999999999999"/>
    <n v="121.84"/>
    <m/>
    <s v="KOTAK M BANK - NRE"/>
    <s v="SIP"/>
    <x v="9"/>
    <n v="2999.8226399999999"/>
    <s v="DK"/>
  </r>
  <r>
    <s v="19915197402"/>
    <s v="INF760K01JW4"/>
    <d v="2025-06-11T00:00:00"/>
    <n v="51.704000000000001"/>
    <n v="19.34"/>
    <m/>
    <s v="DK HDFC NRO"/>
    <s v="SIP"/>
    <x v="10"/>
    <n v="999.95536000000004"/>
    <s v="DK"/>
  </r>
  <r>
    <n v="79931510915"/>
    <s v="INF769K01BI1"/>
    <d v="2025-06-11T00:00:00"/>
    <n v="12.01"/>
    <n v="166.51599999999999"/>
    <m/>
    <s v="KOTAK M BANK - NRE"/>
    <s v="SIP"/>
    <x v="6"/>
    <n v="1999.8571599999998"/>
    <s v="DK"/>
  </r>
  <r>
    <s v="79936204371"/>
    <s v="INF769K01BI1"/>
    <d v="2025-06-16T00:00:00"/>
    <n v="15.182"/>
    <n v="164.65899999999999"/>
    <m/>
    <s v="RS SBI"/>
    <s v="SIP"/>
    <x v="6"/>
    <n v="2499.852938"/>
    <s v="RS"/>
  </r>
  <r>
    <s v="18917658"/>
    <s v="INF200K01T51"/>
    <d v="2025-06-19T00:00:00"/>
    <n v="15.612"/>
    <n v="192.15350000000001"/>
    <m/>
    <s v="RS SBI"/>
    <s v="SIP"/>
    <x v="7"/>
    <n v="2999.9004420000001"/>
    <s v="RS"/>
  </r>
  <r>
    <s v="91093138814"/>
    <s v="INF846K01K35"/>
    <d v="2025-06-25T00:00:00"/>
    <n v="124.01"/>
    <n v="40.317"/>
    <m/>
    <s v="KOTAK M BANK - NRE"/>
    <s v="JAG SIP"/>
    <x v="9"/>
    <n v="4999.7111700000005"/>
    <s v="DK"/>
  </r>
  <r>
    <s v="91093138965"/>
    <s v="INF846K01K35"/>
    <d v="2025-06-25T00:00:00"/>
    <n v="40.317"/>
    <n v="124.01"/>
    <m/>
    <s v="KOTAK M BANK - NRE"/>
    <s v="DIV SIP"/>
    <x v="9"/>
    <n v="4999.7111700000005"/>
    <s v="DK"/>
  </r>
  <r>
    <s v="17412588"/>
    <s v="INF879O01027"/>
    <d v="2025-06-28T00:00:00"/>
    <n v="53.664999999999999"/>
    <n v="93.165999999999997"/>
    <m/>
    <s v="DK IDFC NRO"/>
    <s v="CC2-LAND SELL"/>
    <x v="3"/>
    <n v="4999.7533899999999"/>
    <s v="DK"/>
  </r>
  <r>
    <s v="17412588"/>
    <s v="INF879O01027"/>
    <d v="2025-07-02T00:00:00"/>
    <n v="486.36399999999998"/>
    <n v="92.539299999999997"/>
    <m/>
    <s v="DK IDFC NRO"/>
    <s v="CC2-LAND SELL"/>
    <x v="3"/>
    <n v="45007.784105199993"/>
    <s v="DK"/>
  </r>
  <r>
    <s v="17412588"/>
    <s v="INF879O01027"/>
    <d v="2025-07-03T00:00:00"/>
    <n v="1081.6579999999999"/>
    <n v="92.455299999999994"/>
    <m/>
    <s v="DK IDFC NRO"/>
    <s v="CC2-LAND SELL"/>
    <x v="3"/>
    <n v="100005.01488739999"/>
    <s v="DK"/>
  </r>
  <r>
    <s v="17412588"/>
    <s v="INF879O01027"/>
    <d v="2025-07-04T00:00:00"/>
    <n v="2105.5509999999999"/>
    <n v="92.611999999999995"/>
    <m/>
    <s v="DK IDFC NRO"/>
    <s v="CC2-LAND SELL"/>
    <x v="3"/>
    <n v="194999.28921199997"/>
    <s v="DK"/>
  </r>
  <r>
    <s v="17412588"/>
    <s v="INF879O01027"/>
    <d v="2025-07-07T00:00:00"/>
    <n v="1673.4079999999999"/>
    <n v="92.653599999999997"/>
    <m/>
    <s v="DK IDFC NRO"/>
    <s v="CC2-LAND SELL"/>
    <x v="3"/>
    <n v="155047.27546879998"/>
    <s v="DK"/>
  </r>
  <r>
    <s v="17412588"/>
    <s v="INF879O01027"/>
    <d v="2025-07-07T00:00:00"/>
    <n v="2153.2350000000001"/>
    <n v="92.653599999999997"/>
    <m/>
    <s v="DK IDFC NRO"/>
    <s v="CC2-LAND SELL"/>
    <x v="3"/>
    <n v="199504.97439600001"/>
    <s v="DK"/>
  </r>
  <r>
    <s v="17412588"/>
    <s v="INF879O01027"/>
    <d v="2025-07-08T00:00:00"/>
    <n v="2108.9079999999999"/>
    <n v="92.483999999999995"/>
    <m/>
    <s v="DK IDFC NRO"/>
    <s v="CC2-LAND SELL"/>
    <x v="3"/>
    <n v="195040.24747199999"/>
    <s v="DK"/>
  </r>
  <r>
    <s v="17412588"/>
    <s v="INF879O01027"/>
    <d v="2025-07-10T00:00:00"/>
    <n v="487.36799999999999"/>
    <n v="92.430599999999998"/>
    <m/>
    <s v="DK IDFC NRO"/>
    <s v="CC2-LAND SELL"/>
    <x v="3"/>
    <n v="45047.716660799997"/>
    <s v="DK"/>
  </r>
  <r>
    <s v="19915197402"/>
    <s v="INF760K01JW4"/>
    <d v="2025-07-11T00:00:00"/>
    <n v="50.966000000000001"/>
    <n v="19.62"/>
    <m/>
    <s v="DK HDFC NRO"/>
    <s v="SIP"/>
    <x v="10"/>
    <n v="999.95292000000006"/>
    <s v="DK"/>
  </r>
  <r>
    <s v="17412588"/>
    <s v="INF879O01027"/>
    <d v="2025-07-11T00:00:00"/>
    <n v="656.84699999999998"/>
    <n v="92.102099999999993"/>
    <m/>
    <s v="DK IDFC NRO"/>
    <s v="CC2-LAND SELL"/>
    <x v="3"/>
    <n v="60496.988078699993"/>
    <s v="DK"/>
  </r>
  <r>
    <s v="79936204371"/>
    <s v="INF769K01BI1"/>
    <d v="2025-07-18T00:00:00"/>
    <n v="14.648"/>
    <n v="170.66499999999999"/>
    <m/>
    <s v="RS SBI"/>
    <s v="SIP"/>
    <x v="6"/>
    <n v="2499.90092"/>
    <s v="RS"/>
  </r>
  <r>
    <s v="18917658"/>
    <s v="INF200K01T51"/>
    <d v="2025-07-21T00:00:00"/>
    <n v="14.718999999999999"/>
    <n v="203.80279999999999"/>
    <m/>
    <s v="RS SBI"/>
    <s v="SIP"/>
    <x v="7"/>
    <n v="2999.7734131999996"/>
    <s v="RS"/>
  </r>
  <r>
    <s v="19915197402"/>
    <s v="INF760K01JC6"/>
    <d v="2025-07-24T00:00:00"/>
    <n v="226.797"/>
    <n v="44.09"/>
    <m/>
    <s v="DK HDFC NRO"/>
    <s v="Sonarpure Flat sell"/>
    <x v="12"/>
    <n v="9999.4797300000009"/>
    <s v="DK"/>
  </r>
  <r>
    <s v="91093138814"/>
    <s v="INF846K01K35"/>
    <d v="2025-07-25T00:00:00"/>
    <n v="122.61"/>
    <n v="40.777999999999999"/>
    <m/>
    <s v="KOTAK M BANK - NRE"/>
    <s v="JAG SIP"/>
    <x v="9"/>
    <n v="4999.7905799999999"/>
    <s v="DK"/>
  </r>
  <r>
    <s v="91093138965"/>
    <s v="INF846K01K35"/>
    <d v="2025-07-25T00:00:00"/>
    <n v="40.777999999999999"/>
    <n v="122.61"/>
    <m/>
    <s v="KOTAK M BANK - NRE"/>
    <s v="DIV SIP"/>
    <x v="9"/>
    <n v="4999.7905799999999"/>
    <s v="DK"/>
  </r>
  <r>
    <s v="19915197402"/>
    <s v="INF760K01JC6"/>
    <d v="2025-07-25T00:00:00"/>
    <n v="230.08500000000001"/>
    <n v="43.46"/>
    <m/>
    <s v="DK HDFC NRO"/>
    <s v="Sonarpure Flat sell"/>
    <x v="12"/>
    <n v="9999.4940999999999"/>
    <s v="DK"/>
  </r>
  <r>
    <s v="17713086"/>
    <s v="INF879O01027"/>
    <d v="2025-07-25T00:00:00"/>
    <n v="54.366"/>
    <n v="92.055899999999994"/>
    <m/>
    <s v="JS IDFC NRO"/>
    <s v="CC2-LAND SELL"/>
    <x v="3"/>
    <n v="5004.7110593999996"/>
    <s v="JS"/>
  </r>
  <r>
    <s v="17412588"/>
    <s v="INF879O01027"/>
    <d v="2025-07-29T00:00:00"/>
    <n v="2720.4609999999998"/>
    <n v="91.891599999999997"/>
    <m/>
    <s v="DK IDFC NRO"/>
    <s v="CC2-LAND SELL"/>
    <x v="3"/>
    <n v="249987.51402759997"/>
    <s v="DK"/>
  </r>
  <r>
    <s v="17713086"/>
    <s v="INF879O01027"/>
    <d v="2025-07-29T00:00:00"/>
    <n v="54.463999999999999"/>
    <n v="91.891599999999997"/>
    <m/>
    <s v="JS IDFC NRO"/>
    <s v="CC2-LAND SELL"/>
    <x v="3"/>
    <n v="5004.7841023999999"/>
    <s v="JS"/>
  </r>
  <r>
    <s v="17412588"/>
    <s v="INF879O01027"/>
    <d v="2025-07-30T00:00:00"/>
    <n v="2719.8719999999998"/>
    <n v="91.911500000000004"/>
    <m/>
    <s v="DK IDFC NRO"/>
    <s v="CC2-LAND SELL"/>
    <x v="3"/>
    <n v="249987.51532800001"/>
    <s v="DK"/>
  </r>
  <r>
    <s v="17412588"/>
    <s v="INF879O01027"/>
    <d v="2025-07-31T00:00:00"/>
    <n v="1302.0150000000001"/>
    <n v="92.160200000000003"/>
    <m/>
    <s v="DK IDFC NRO"/>
    <s v="CC2-LAND SELL"/>
    <x v="3"/>
    <n v="119993.96280300002"/>
    <s v="DK"/>
  </r>
  <r>
    <s v="17412588"/>
    <s v="INF879O01027"/>
    <d v="2025-08-04T00:00:00"/>
    <n v="491.71100000000001"/>
    <n v="91.512600000000006"/>
    <m/>
    <s v="DK IDFC NRO"/>
    <s v="CC2-LAND SELL"/>
    <x v="3"/>
    <n v="44997.752058600003"/>
    <s v="DK"/>
  </r>
  <r>
    <s v="19915197402"/>
    <s v="INF760K01JW4"/>
    <d v="2025-08-11T00:00:00"/>
    <n v="52.216999999999999"/>
    <n v="19.149999999999999"/>
    <m/>
    <s v="DK HDFC NRO"/>
    <s v="SIP"/>
    <x v="10"/>
    <n v="999.9555499999999"/>
    <s v="DK"/>
  </r>
  <r>
    <s v="79936204371"/>
    <s v="INF769K01BI1"/>
    <d v="2025-08-18T00:00:00"/>
    <n v="14.823"/>
    <n v="168.648"/>
    <m/>
    <s v="RS SBI"/>
    <s v="SIP"/>
    <x v="6"/>
    <n v="2499.8693039999998"/>
    <s v="RS"/>
  </r>
  <r>
    <s v="18917658"/>
    <s v="INF200K01T51"/>
    <d v="2025-08-19T00:00:00"/>
    <n v="15.148"/>
    <n v="198.03890000000001"/>
    <m/>
    <s v="RS SBI"/>
    <s v="SIP"/>
    <x v="7"/>
    <n v="2999.8932572000003"/>
    <s v="RS"/>
  </r>
  <r>
    <s v="91093138814"/>
    <s v="INF846K01K35"/>
    <d v="2025-08-25T00:00:00"/>
    <n v="121.03"/>
    <n v="41.31"/>
    <m/>
    <s v="KOTAK M BANK - NRE"/>
    <s v="JAG SIP"/>
    <x v="9"/>
    <n v="4999.7493000000004"/>
    <s v="DK"/>
  </r>
  <r>
    <s v="91093138814"/>
    <s v="INF846K01K35"/>
    <d v="2025-08-25T00:00:00"/>
    <n v="121.03"/>
    <n v="41.31"/>
    <m/>
    <s v="KOTAK M BANK - NRE"/>
    <s v="JAG SIP"/>
    <x v="9"/>
    <n v="4999.7493000000004"/>
    <s v="DK"/>
  </r>
  <r>
    <s v="91093138965"/>
    <s v="INF846K01K35"/>
    <d v="2025-08-25T00:00:00"/>
    <n v="41.31"/>
    <n v="121.03"/>
    <m/>
    <s v="KOTAK M BANK - NRE"/>
    <s v="DIV SIP"/>
    <x v="9"/>
    <n v="4999.7493000000004"/>
    <s v="DK"/>
  </r>
  <r>
    <s v="91093138965"/>
    <s v="INF846K01K35"/>
    <d v="2025-08-25T00:00:00"/>
    <n v="41.31"/>
    <n v="121.03"/>
    <m/>
    <s v="KOTAK M BANK - NRE"/>
    <s v="DIV SIP"/>
    <x v="9"/>
    <n v="4999.7493000000004"/>
    <s v="DK"/>
  </r>
  <r>
    <s v="17412588"/>
    <s v="INF879O01027"/>
    <d v="2025-08-28T00:00:00"/>
    <n v="1096.2850000000001"/>
    <n v="91.173400000000001"/>
    <m/>
    <s v="DK IDFC NRO"/>
    <s v="CC2-LAND SELL"/>
    <x v="3"/>
    <n v="99952.030819000007"/>
    <s v="DK"/>
  </r>
  <r>
    <s v="17713086"/>
    <s v="INF879O01027"/>
    <d v="2025-08-28T00:00:00"/>
    <n v="548.92700000000002"/>
    <n v="91.173400000000001"/>
    <m/>
    <s v="JS IDFC NRO"/>
    <s v="CC2-LAND SELL"/>
    <x v="3"/>
    <n v="50047.540941800005"/>
    <s v="JS"/>
  </r>
  <r>
    <s v="10231846"/>
    <s v="INF879O01027"/>
    <d v="2025-08-28T00:00:00"/>
    <n v="548.38"/>
    <n v="91.173400000000001"/>
    <m/>
    <s v="RS SBI"/>
    <s v="CC2-LAND SELL"/>
    <x v="3"/>
    <n v="49997.669091999996"/>
    <s v="RS"/>
  </r>
  <r>
    <s v="17412588"/>
    <s v="INF879O01027"/>
    <d v="2025-08-29T00:00:00"/>
    <n v="548.71500000000003"/>
    <n v="91.073700000000002"/>
    <m/>
    <s v="DK IDFC NRO"/>
    <s v="CC2-LAND SELL"/>
    <x v="3"/>
    <n v="49973.505295500006"/>
    <s v="DK"/>
  </r>
  <r>
    <s v="17713086"/>
    <s v="INF879O01027"/>
    <d v="2025-08-29T00:00:00"/>
    <n v="1099.0550000000001"/>
    <n v="91.073700000000002"/>
    <m/>
    <s v="JS IDFC NRO"/>
    <s v="CC2-LAND SELL"/>
    <x v="3"/>
    <n v="100095.0053535"/>
    <s v="JS"/>
  </r>
  <r>
    <s v="17412588"/>
    <s v="INF879O01027"/>
    <d v="2025-09-01T00:00:00"/>
    <n v="218.16900000000001"/>
    <n v="91.520700000000005"/>
    <m/>
    <s v="DK IDFC NRO"/>
    <s v="CC2-LAND SELL"/>
    <x v="3"/>
    <n v="19966.9795983"/>
    <s v="DK"/>
  </r>
  <r>
    <s v="499424545351"/>
    <s v="INF204K01K15"/>
    <d v="2025-09-02T00:00:00"/>
    <n v="5.33"/>
    <n v="187.8048"/>
    <m/>
    <s v="JS IDFC NRE"/>
    <s v="SIP-W"/>
    <x v="1"/>
    <n v="1000.999584"/>
    <s v="JS"/>
  </r>
  <r>
    <s v="17713086"/>
    <s v="INF879O01027"/>
    <d v="2025-09-03T00:00:00"/>
    <n v="433.92"/>
    <n v="92.178200000000004"/>
    <m/>
    <s v="JS IDFC NRO"/>
    <s v="CC2-LAND SELL"/>
    <x v="3"/>
    <n v="39997.964544000002"/>
    <s v="JS"/>
  </r>
  <r>
    <s v="17412588"/>
    <s v="INF879O01027"/>
    <d v="2025-09-04T00:00:00"/>
    <n v="269.83100000000002"/>
    <n v="92.482799999999997"/>
    <m/>
    <s v="DK IDFC NRO"/>
    <s v="CC2-LAND SELL"/>
    <x v="3"/>
    <n v="24954.7264068"/>
    <s v="DK"/>
  </r>
  <r>
    <s v="17713086"/>
    <s v="INF879O01027"/>
    <d v="2025-09-04T00:00:00"/>
    <n v="432.49099999999999"/>
    <n v="92.482799999999997"/>
    <m/>
    <s v="JS IDFC NRO"/>
    <s v="CC2-LAND SELL"/>
    <x v="3"/>
    <n v="39997.978654799997"/>
    <s v="JS"/>
  </r>
  <r>
    <s v="17713086"/>
    <s v="INF879O01027"/>
    <d v="2025-09-08T00:00:00"/>
    <n v="324.20600000000002"/>
    <n v="92.528999999999996"/>
    <m/>
    <s v="JS IDFC NRO"/>
    <s v="CC2-LAND SELL"/>
    <x v="3"/>
    <n v="29998.456974000001"/>
    <s v="JS"/>
  </r>
  <r>
    <s v="19915197402"/>
    <s v="INF760K01JC6"/>
    <d v="2025-09-09T00:00:00"/>
    <n v="329.62799999999999"/>
    <n v="42.47"/>
    <m/>
    <s v="DK HDFC NRO"/>
    <s v="Sonarpure Flat sell"/>
    <x v="12"/>
    <n v="13999.301159999999"/>
    <s v="DK"/>
  </r>
  <r>
    <s v="17713086"/>
    <s v="INF879O01027"/>
    <d v="2025-09-09T00:00:00"/>
    <n v="161.173"/>
    <n v="93.063000000000002"/>
    <m/>
    <s v="JS IDFC NRO"/>
    <s v="CC2-LAND SELL"/>
    <x v="3"/>
    <n v="14999.242899000001"/>
    <s v="JS"/>
  </r>
  <r>
    <s v="499424545351"/>
    <s v="INF204K01K15"/>
    <d v="2025-09-09T00:00:00"/>
    <n v="5.2960000000000003"/>
    <n v="189.00559999999999"/>
    <m/>
    <s v="JS IDFC NRE"/>
    <s v="SIP-W"/>
    <x v="1"/>
    <n v="1000.9736576"/>
    <s v="JS"/>
  </r>
  <r>
    <s v="17412588"/>
    <s v="INF879O01027"/>
    <d v="2025-09-10T00:00:00"/>
    <n v="602.01300000000003"/>
    <n v="93.083500000000001"/>
    <m/>
    <s v="DK IDFC NRO"/>
    <s v="CC2-LAND SELL"/>
    <x v="3"/>
    <n v="56037.477085500002"/>
    <s v="DK"/>
  </r>
  <r>
    <s v="17713086"/>
    <s v="INF879O01027"/>
    <d v="2025-09-10T00:00:00"/>
    <n v="161.13800000000001"/>
    <n v="93.083500000000001"/>
    <m/>
    <s v="JS IDFC NRO"/>
    <s v="CC2-LAND SELL"/>
    <x v="3"/>
    <n v="14999.289023000001"/>
    <s v="JS"/>
  </r>
  <r>
    <s v="19915197402"/>
    <s v="INF760K01JW4"/>
    <d v="2025-09-11T00:00:00"/>
    <n v="51.892000000000003"/>
    <n v="19.27"/>
    <m/>
    <s v="DK HDFC NRO"/>
    <s v="SIP"/>
    <x v="10"/>
    <n v="999.95884000000001"/>
    <s v="DK"/>
  </r>
  <r>
    <s v="17412588"/>
    <s v="INF879O01027"/>
    <d v="2025-09-15T00:00:00"/>
    <n v="112.6"/>
    <n v="93.734499999999997"/>
    <m/>
    <s v="DK IDFC NRO"/>
    <s v="CC2-LAND SELL"/>
    <x v="3"/>
    <n v="10554.5047"/>
    <s v="DK"/>
  </r>
  <r>
    <s v="17713086"/>
    <s v="INF879O01027"/>
    <d v="2025-09-15T00:00:00"/>
    <n v="214.42500000000001"/>
    <n v="93.734499999999997"/>
    <m/>
    <s v="JS IDFC NRO"/>
    <s v="CC2-LAND SELL"/>
    <x v="3"/>
    <n v="20099.020162500001"/>
    <s v="JS"/>
  </r>
  <r>
    <s v="10231846"/>
    <s v="INF879O01027"/>
    <d v="2025-09-15T00:00:00"/>
    <n v="266.7"/>
    <n v="93.734499999999997"/>
    <m/>
    <s v="RS SBI"/>
    <s v="CC2-LAND SELL"/>
    <x v="3"/>
    <n v="24998.991149999998"/>
    <s v="RS"/>
  </r>
  <r>
    <s v="17713086"/>
    <s v="INF879O01027"/>
    <d v="2025-09-16T00:00:00"/>
    <n v="264.83199999999999"/>
    <n v="94.394800000000004"/>
    <m/>
    <s v="JS IDFC NRO"/>
    <s v="CC2-LAND SELL"/>
    <x v="3"/>
    <n v="24998.763673599999"/>
    <s v="JS"/>
  </r>
  <r>
    <s v="499424545351"/>
    <s v="INF204K01K15"/>
    <d v="2025-09-16T00:00:00"/>
    <n v="5.2"/>
    <n v="192.48750000000001"/>
    <m/>
    <s v="JS IDFC NRE"/>
    <s v="SIP-W"/>
    <x v="1"/>
    <n v="1000.9350000000001"/>
    <s v="JS"/>
  </r>
  <r>
    <s v="79936204371"/>
    <s v="INF769K01BI1"/>
    <d v="2025-09-18T00:00:00"/>
    <n v="14.419"/>
    <n v="173.37700000000001"/>
    <m/>
    <s v="RS SBI"/>
    <s v="SIP"/>
    <x v="6"/>
    <n v="2499.9229630000004"/>
    <s v="RS"/>
  </r>
  <r>
    <s v="19915197402"/>
    <s v="INF760K01JC6"/>
    <d v="2025-09-19T00:00:00"/>
    <n v="569.70699999999999"/>
    <n v="43.88"/>
    <m/>
    <s v="DK HDFC NRO"/>
    <s v="Sonarpure Flat sell"/>
    <x v="12"/>
    <n v="24998.743160000002"/>
    <s v="DK"/>
  </r>
  <r>
    <s v="18917658"/>
    <s v="INF200K01T51"/>
    <d v="2025-09-19T00:00:00"/>
    <n v="14.901999999999999"/>
    <n v="201.30600000000001"/>
    <m/>
    <s v="RS SBI"/>
    <s v="SIP"/>
    <x v="7"/>
    <n v="2999.862012"/>
    <s v="RS"/>
  </r>
  <r>
    <s v="19915197402"/>
    <s v="INF760K01JC6"/>
    <d v="2025-09-22T00:00:00"/>
    <n v="229.50399999999999"/>
    <n v="43.57"/>
    <m/>
    <s v="DK HDFC NRO"/>
    <s v="Sonarpure Flat sell"/>
    <x v="12"/>
    <n v="9999.4892799999998"/>
    <s v="DK"/>
  </r>
  <r>
    <s v="37467898"/>
    <s v="INF179KA1RW5"/>
    <d v="2025-09-22T00:00:00"/>
    <n v="60.725999999999999"/>
    <n v="164.83"/>
    <m/>
    <s v="DK IDFC NRO"/>
    <m/>
    <x v="14"/>
    <n v="10009.46658"/>
    <s v="DK"/>
  </r>
  <r>
    <s v="17412588"/>
    <s v="INF879O01027"/>
    <d v="2025-09-23T00:00:00"/>
    <n v="1329.58"/>
    <n v="94.009699999999995"/>
    <m/>
    <s v="DK IDFC NRO"/>
    <s v="CC2-LAND SELL"/>
    <x v="3"/>
    <n v="124993.41692599999"/>
    <s v="DK"/>
  </r>
  <r>
    <s v="37467898"/>
    <s v="INF179KA1RW5"/>
    <d v="2025-09-23T00:00:00"/>
    <n v="407.10599999999999"/>
    <n v="164.56800000000001"/>
    <m/>
    <s v="DK IDFC NRO"/>
    <m/>
    <x v="14"/>
    <n v="66996.620208000008"/>
    <s v="DK"/>
  </r>
  <r>
    <s v="17713086"/>
    <s v="INF879O01027"/>
    <d v="2025-09-23T00:00:00"/>
    <n v="957.3"/>
    <n v="94.009699999999995"/>
    <m/>
    <s v="JS IDFC NRO"/>
    <s v="CC2-LAND SELL"/>
    <x v="3"/>
    <n v="89995.485809999998"/>
    <s v="JS"/>
  </r>
  <r>
    <s v="17713086"/>
    <s v="INF879O01027"/>
    <d v="2025-09-23T00:00:00"/>
    <n v="106.367"/>
    <n v="94.009699999999995"/>
    <m/>
    <s v="JS IDFC NRO"/>
    <s v="CC2-LAND SELL"/>
    <x v="3"/>
    <n v="9999.5297599000005"/>
    <s v="JS"/>
  </r>
  <r>
    <s v="499424545351"/>
    <s v="INF204K01K15"/>
    <d v="2025-09-23T00:00:00"/>
    <n v="5.2220000000000004"/>
    <n v="191.68279999999999"/>
    <m/>
    <s v="JS IDFC NRE"/>
    <s v="SIP-W"/>
    <x v="1"/>
    <n v="1000.9675816"/>
    <s v="JS"/>
  </r>
  <r>
    <s v="17412588"/>
    <s v="INF879O01027"/>
    <d v="2025-09-24T00:00:00"/>
    <n v="799.55899999999997"/>
    <n v="93.796999999999997"/>
    <m/>
    <s v="DK IDFC NRO"/>
    <s v="CC2-LAND SELL"/>
    <x v="3"/>
    <n v="74996.235522999996"/>
    <s v="DK"/>
  </r>
  <r>
    <s v="37467898"/>
    <s v="INF179KA1RW5"/>
    <d v="2025-09-24T00:00:00"/>
    <n v="274.80200000000002"/>
    <n v="163.74600000000001"/>
    <m/>
    <s v="DK IDFC NRO"/>
    <m/>
    <x v="14"/>
    <n v="44997.728292000007"/>
    <s v="DK"/>
  </r>
  <r>
    <s v="17412588"/>
    <s v="INF879O01027"/>
    <d v="2025-09-25T00:00:00"/>
    <n v="482.93099999999998"/>
    <n v="93.176299999999998"/>
    <m/>
    <s v="DK IDFC NRO"/>
    <s v="CC2-LAND SELL"/>
    <x v="3"/>
    <n v="44997.723735299995"/>
    <s v="DK"/>
  </r>
  <r>
    <s v="37467898"/>
    <s v="INF179KA1RW5"/>
    <d v="2025-09-25T00:00:00"/>
    <n v="153.71199999999999"/>
    <n v="162.63399999999999"/>
    <m/>
    <s v="DK IDFC NRO"/>
    <m/>
    <x v="14"/>
    <n v="24998.797407999995"/>
    <s v="DK"/>
  </r>
  <r>
    <s v="17713086"/>
    <s v="INF879O01027"/>
    <d v="2025-09-25T00:00:00"/>
    <n v="482.93099999999998"/>
    <n v="93.176299999999998"/>
    <m/>
    <s v="JS IDFC NRO"/>
    <s v="CC2-LAND SELL"/>
    <x v="3"/>
    <n v="44997.723735299995"/>
    <s v="JS"/>
  </r>
  <r>
    <s v="17412588"/>
    <s v="INF879O01027"/>
    <d v="2025-09-26T00:00:00"/>
    <n v="274.25700000000001"/>
    <n v="92.609399999999994"/>
    <m/>
    <s v="DK IDFC NRO"/>
    <s v="CC2-LAND SELL"/>
    <x v="3"/>
    <n v="25398.776215800001"/>
    <s v="DK"/>
  </r>
  <r>
    <s v="37467898"/>
    <s v="INF179KA1RW5"/>
    <d v="2025-09-26T00:00:00"/>
    <n v="172.07"/>
    <n v="159.95599999999999"/>
    <m/>
    <s v="DK IDFC NRO"/>
    <m/>
    <x v="14"/>
    <n v="27523.628919999996"/>
    <s v="DK"/>
  </r>
  <r>
    <s v="17713086"/>
    <s v="INF879O01027"/>
    <d v="2025-09-26T00:00:00"/>
    <n v="98.257000000000005"/>
    <n v="92.609399999999994"/>
    <m/>
    <s v="JS IDFC NRO"/>
    <s v="CC2-LAND SELL"/>
    <x v="3"/>
    <n v="9099.5218158000007"/>
    <s v="JS"/>
  </r>
  <r>
    <s v="10231846"/>
    <s v="INF879O01027"/>
    <d v="2025-09-26T00:00:00"/>
    <n v="540.41999999999996"/>
    <n v="92.609399999999994"/>
    <m/>
    <s v="RS SBI"/>
    <s v="CC2-LAND SELL"/>
    <x v="3"/>
    <n v="50047.971947999991"/>
    <s v="RS"/>
  </r>
  <r>
    <s v="499424545351"/>
    <s v="INF204K01K15"/>
    <d v="2025-10-03T00:00:00"/>
    <n v="5.2949999999999999"/>
    <n v="189.0205"/>
    <m/>
    <s v="JS IDFC NRE"/>
    <s v="SIP-W"/>
    <x v="1"/>
    <n v="1000.8635475"/>
    <s v="JS"/>
  </r>
  <r>
    <s v="499424545351"/>
    <s v="INF204K01K15"/>
    <d v="2025-10-09T00:00:00"/>
    <n v="5.31"/>
    <n v="188.51560000000001"/>
    <m/>
    <s v="JS IDFC NRE"/>
    <s v="SIP-W"/>
    <x v="1"/>
    <n v="1001.017836"/>
    <s v="JS"/>
  </r>
  <r>
    <s v="19915197402"/>
    <s v="INF760K01JW4"/>
    <d v="2025-10-13T00:00:00"/>
    <n v="51.811"/>
    <n v="19.3"/>
    <m/>
    <s v="DK HDFC NRO"/>
    <s v="SIP"/>
    <x v="10"/>
    <n v="999.95230000000004"/>
    <s v="DK"/>
  </r>
  <r>
    <s v="499424545351"/>
    <s v="INF204K01K15"/>
    <d v="2025-10-16T00:00:00"/>
    <n v="5.2610000000000001"/>
    <n v="190.2517"/>
    <m/>
    <s v="JS IDFC NRE"/>
    <s v="SIP-W"/>
    <x v="1"/>
    <n v="1000.9141937000001"/>
    <s v="JS"/>
  </r>
  <r>
    <s v="37959966"/>
    <s v="INF179KA1RW5"/>
    <d v="2025-10-17T00:00:00"/>
    <n v="31.064"/>
    <n v="160.95099999999999"/>
    <m/>
    <s v="JS IDFC NRO"/>
    <s v="JS Diversification"/>
    <x v="14"/>
    <n v="4999.7818639999996"/>
    <s v="JS"/>
  </r>
  <r>
    <s v="37959966"/>
    <s v="INF179K01LC5"/>
    <d v="2025-10-17T00:00:00"/>
    <n v="122.601"/>
    <n v="40.780500000000004"/>
    <m/>
    <s v="JS IDFC NRO"/>
    <s v="SGB Money Parking"/>
    <x v="15"/>
    <n v="4999.7300805000004"/>
    <s v="JS"/>
  </r>
  <r>
    <s v="37959966"/>
    <s v="INF179K01LC5"/>
    <d v="2025-10-20T00:00:00"/>
    <n v="2906.8020000000001"/>
    <n v="39.818399999999997"/>
    <m/>
    <s v="JS IDFC NRO"/>
    <s v="SGB Money Parking"/>
    <x v="15"/>
    <n v="115744.2047568"/>
    <s v="JS"/>
  </r>
  <r>
    <s v="18917658"/>
    <s v="INF200K01T51"/>
    <d v="2025-10-20T00:00:00"/>
    <n v="15.186999999999999"/>
    <n v="197.5258"/>
    <m/>
    <s v="RS SBI"/>
    <s v="SIP"/>
    <x v="7"/>
    <n v="2999.8243245999997"/>
    <s v="RS"/>
  </r>
  <r>
    <s v="79936204371"/>
    <s v="INF769K01BI1"/>
    <d v="2025-10-20T00:00:00"/>
    <n v="14.253"/>
    <n v="175.39400000000001"/>
    <m/>
    <s v="RS SBI"/>
    <s v="SIP"/>
    <x v="6"/>
    <n v="2499.8906820000002"/>
    <s v="RS"/>
  </r>
  <r>
    <s v="499424545351"/>
    <s v="INF204K01K15"/>
    <d v="2025-10-23T00:00:00"/>
    <n v="5.2160000000000002"/>
    <n v="191.89869999999999"/>
    <m/>
    <s v="JS IDFC NRE"/>
    <s v="SIP-W"/>
    <x v="1"/>
    <n v="1000.9436191999999"/>
    <s v="JS"/>
  </r>
  <r>
    <s v="91093138814"/>
    <s v="INF846K01K35"/>
    <d v="2025-10-27T00:00:00"/>
    <n v="125.07"/>
    <n v="39.975999999999999"/>
    <m/>
    <s v="KOTAK M BANK - NRE"/>
    <s v="JAG SIP"/>
    <x v="9"/>
    <n v="4999.7983199999999"/>
    <s v="DK"/>
  </r>
  <r>
    <s v="91093138965"/>
    <s v="INF846K01K35"/>
    <d v="2025-10-27T00:00:00"/>
    <n v="39.975999999999999"/>
    <n v="125.07"/>
    <m/>
    <s v="KOTAK M BANK - NRE"/>
    <s v="DIV SIP"/>
    <x v="9"/>
    <n v="4999.7983199999999"/>
    <s v="DK"/>
  </r>
  <r>
    <s v="37959966"/>
    <s v="INF179KA1RW5"/>
    <d v="2025-10-27T00:00:00"/>
    <n v="30.46"/>
    <n v="164.14"/>
    <m/>
    <s v="JS IDFC NRO"/>
    <s v="JS Diversification"/>
    <x v="14"/>
    <n v="4999.7043999999996"/>
    <s v="JS"/>
  </r>
  <r>
    <s v="37959966"/>
    <s v="INF179K01LC5"/>
    <d v="2025-10-27T00:00:00"/>
    <n v="132.511"/>
    <n v="37.730699999999999"/>
    <m/>
    <s v="JS IDFC NRO"/>
    <s v="SGB Money Parking"/>
    <x v="15"/>
    <n v="4999.7327876999998"/>
    <s v="JS"/>
  </r>
  <r>
    <s v="37959966"/>
    <s v="INF179KA1RW5"/>
    <d v="2025-10-28T00:00:00"/>
    <n v="91.423000000000002"/>
    <n v="164.065"/>
    <m/>
    <s v="JS IDFC NRO"/>
    <s v="JS Diversification"/>
    <x v="14"/>
    <n v="14999.314495000001"/>
    <s v="JS"/>
  </r>
  <r>
    <s v="499424545351"/>
    <s v="INF204K01K15"/>
    <d v="2025-11-04T00:00:00"/>
    <n v="5.1929999999999996"/>
    <n v="192.7484"/>
    <m/>
    <s v="JS IDFC NRE"/>
    <s v="SIP-W"/>
    <x v="1"/>
    <n v="1000.9424412"/>
    <s v="JS"/>
  </r>
  <r>
    <s v="19915197402"/>
    <s v="INF760K01JC6"/>
    <d v="2025-11-06T00:00:00"/>
    <n v="464.661"/>
    <n v="43.04"/>
    <m/>
    <s v="DK HDFC NRO"/>
    <s v="Sonarpure Flat sell"/>
    <x v="12"/>
    <n v="19999.009439999998"/>
    <s v="DK"/>
  </r>
  <r>
    <s v="37959966"/>
    <s v="INF179KA1RW5"/>
    <d v="2025-11-06T00:00:00"/>
    <n v="154.33600000000001"/>
    <n v="162.30000000000001"/>
    <m/>
    <s v="JS IDFC NRO"/>
    <s v="JS Diversification"/>
    <x v="14"/>
    <n v="25048.732800000005"/>
    <s v="JS"/>
  </r>
  <r>
    <s v="17713086"/>
    <s v="INF879O01027"/>
    <d v="2025-11-07T00:00:00"/>
    <n v="481.09300000000002"/>
    <n v="93.5428"/>
    <m/>
    <s v="JS IDFC NRO"/>
    <s v="CC2-LAND SELL"/>
    <x v="3"/>
    <n v="45002.786280400003"/>
    <s v="JS"/>
  </r>
  <r>
    <s v="37959966"/>
    <s v="INF179KA1RW5"/>
    <d v="2025-11-07T00:00:00"/>
    <n v="154.41399999999999"/>
    <n v="161.89400000000001"/>
    <m/>
    <s v="JS IDFC NRO"/>
    <s v="JS Diversification"/>
    <x v="14"/>
    <n v="24998.700116"/>
    <s v="JS"/>
  </r>
  <r>
    <s v="37959966"/>
    <s v="INF179K01LC5"/>
    <d v="2025-11-07T00:00:00"/>
    <n v="132.52600000000001"/>
    <n v="37.726599999999998"/>
    <m/>
    <s v="JS IDFC NRO"/>
    <s v="SGB Money Parking"/>
    <x v="15"/>
    <n v="4999.7553915999997"/>
    <s v="JS"/>
  </r>
  <r>
    <s v="17713086"/>
    <s v="INF879O01027"/>
    <d v="2025-11-10T00:00:00"/>
    <n v="265.78100000000001"/>
    <n v="94.076499999999996"/>
    <m/>
    <s v="JS IDFC NRO"/>
    <s v="CC2-LAND SELL"/>
    <x v="3"/>
    <n v="25003.746246499999"/>
    <s v="JS"/>
  </r>
  <r>
    <s v="19915197402"/>
    <s v="INF760K01JW4"/>
    <d v="2025-11-11T00:00:00"/>
    <n v="50.476999999999997"/>
    <n v="19.809999999999999"/>
    <m/>
    <s v="DK HDFC NRO"/>
    <s v="SIP"/>
    <x v="10"/>
    <n v="999.94936999999982"/>
    <s v="DK"/>
  </r>
  <r>
    <s v="499424545351"/>
    <s v="INF204K01K15"/>
    <d v="2025-11-11T00:00:00"/>
    <n v="5.2750000000000004"/>
    <n v="189.73670000000001"/>
    <m/>
    <s v="JS IDFC NRE"/>
    <s v="SIP-W"/>
    <x v="1"/>
    <n v="1000.8610925000002"/>
    <s v="JS"/>
  </r>
  <r>
    <s v="37959966"/>
    <s v="INF179KA1RW5"/>
    <d v="2025-11-17T00:00:00"/>
    <n v="153.268"/>
    <n v="163.10499999999999"/>
    <m/>
    <s v="JS IDFC NRO"/>
    <s v="JS Diversification"/>
    <x v="14"/>
    <n v="24998.777139999998"/>
    <s v="JS"/>
  </r>
  <r>
    <s v="37959966"/>
    <s v="INF179KA1RW5"/>
    <d v="2025-11-18T00:00:00"/>
    <n v="308.79599999999999"/>
    <n v="161.911"/>
    <m/>
    <s v="JS IDFC NRO"/>
    <s v="JS Diversification"/>
    <x v="14"/>
    <n v="49997.469155999999"/>
    <s v="JS"/>
  </r>
  <r>
    <s v="499424545351"/>
    <s v="INF204K01K15"/>
    <d v="2025-11-18T00:00:00"/>
    <n v="5.2249999999999996"/>
    <n v="191.56970000000001"/>
    <m/>
    <s v="JS IDFC NRE"/>
    <s v="SIP-W"/>
    <x v="1"/>
    <n v="1000.9516824999999"/>
    <s v="JS"/>
  </r>
  <r>
    <s v="79936204371"/>
    <s v="INF769K01BI1"/>
    <d v="2025-11-18T00:00:00"/>
    <n v="14.076000000000001"/>
    <n v="177.60499999999999"/>
    <m/>
    <s v="RS SBI"/>
    <s v="SIP"/>
    <x v="6"/>
    <n v="2499.9679799999999"/>
    <s v="RS"/>
  </r>
  <r>
    <s v="17412588"/>
    <s v="INF879O01027"/>
    <d v="2025-11-19T00:00:00"/>
    <n v="561.96"/>
    <n v="94.308599999999998"/>
    <n v="52134683199"/>
    <s v="DK IDFC NRO"/>
    <s v="CC2-LAND SELL"/>
    <x v="3"/>
    <n v="52997.660856000002"/>
    <s v="DK"/>
  </r>
  <r>
    <s v="17713086"/>
    <s v="INF879O01027"/>
    <d v="2025-11-19T00:00:00"/>
    <n v="261.15100000000001"/>
    <n v="94.308599999999998"/>
    <m/>
    <s v="JS IDFC NRO"/>
    <s v="CC2-LAND SELL"/>
    <x v="3"/>
    <n v="24628.785198600002"/>
    <s v="JS"/>
  </r>
  <r>
    <s v="18917658"/>
    <s v="INF200K01T51"/>
    <d v="2025-11-19T00:00:00"/>
    <n v="15.263999999999999"/>
    <n v="196.52799999999999"/>
    <m/>
    <s v="RS SBI"/>
    <s v="SIP"/>
    <x v="7"/>
    <n v="2999.8033919999998"/>
    <s v="RS"/>
  </r>
  <r>
    <s v="17412588"/>
    <s v="INF879O01027"/>
    <d v="2025-11-20T00:00:00"/>
    <n v="529.64"/>
    <n v="94.418000000000006"/>
    <n v="52134925391"/>
    <s v="DK IDFC NRO"/>
    <s v="CC2-LAND SELL"/>
    <x v="3"/>
    <n v="50007.54952"/>
    <s v="DK"/>
  </r>
  <r>
    <s v="17713086"/>
    <s v="INF879O01027"/>
    <d v="2025-11-20T00:00:00"/>
    <n v="64.179000000000002"/>
    <n v="94.418000000000006"/>
    <m/>
    <s v="JS IDFC NRO"/>
    <s v="CC2-LAND SELL"/>
    <x v="3"/>
    <n v="6059.6528220000009"/>
    <s v="JS"/>
  </r>
  <r>
    <s v="37959966"/>
    <s v="INF179K01LC5"/>
    <d v="2025-11-21T00:00:00"/>
    <n v="129.87100000000001"/>
    <n v="38.497900000000001"/>
    <m/>
    <s v="JS IDFC NRO"/>
    <s v="SGB Money Parking"/>
    <x v="15"/>
    <n v="4999.7607709000004"/>
    <s v="JS"/>
  </r>
  <r>
    <s v="17412588"/>
    <s v="INF879O01027"/>
    <d v="2025-11-24T00:00:00"/>
    <n v="1059.1099999999999"/>
    <n v="94.423299999999998"/>
    <n v="52135200008"/>
    <s v="DK IDFC NRO"/>
    <s v="CC2-LAND SELL"/>
    <x v="3"/>
    <n v="100004.66126299999"/>
    <s v="DK"/>
  </r>
  <r>
    <s v="17713086"/>
    <s v="INF879O01027"/>
    <d v="2025-11-24T00:00:00"/>
    <n v="583.03700000000003"/>
    <n v="94.423299999999998"/>
    <m/>
    <s v="JS IDFC NRO"/>
    <s v="CC2-LAND SELL"/>
    <x v="3"/>
    <n v="55052.277562100004"/>
    <s v="JS"/>
  </r>
  <r>
    <s v="91093138814"/>
    <s v="INF846K01K35"/>
    <d v="2025-11-25T00:00:00"/>
    <n v="124.24"/>
    <n v="40.243000000000002"/>
    <m/>
    <s v="KOTAK M BANK - NRE"/>
    <s v="JAG SIP"/>
    <x v="9"/>
    <n v="4999.7903200000001"/>
    <s v="DK"/>
  </r>
  <r>
    <s v="91093138965"/>
    <s v="INF846K01K35"/>
    <d v="2025-11-25T00:00:00"/>
    <n v="40.243000000000002"/>
    <n v="124.24"/>
    <m/>
    <s v="KOTAK M BANK - NRE"/>
    <s v="DIV SIP"/>
    <x v="9"/>
    <n v="4999.7903200000001"/>
    <s v="DK"/>
  </r>
  <r>
    <s v="17713086"/>
    <s v="INF879O01027"/>
    <d v="2025-11-25T00:00:00"/>
    <n v="317.85199999999998"/>
    <n v="94.388400000000004"/>
    <m/>
    <s v="JS IDFC NRO"/>
    <s v="CC2-LAND SELL"/>
    <x v="3"/>
    <n v="30001.541716799999"/>
    <s v="JS"/>
  </r>
  <r>
    <s v="499424545351"/>
    <s v="INF204K01K15"/>
    <d v="2025-11-25T00:00:00"/>
    <n v="5.3120000000000003"/>
    <n v="188.43389999999999"/>
    <m/>
    <s v="JS IDFC NRE"/>
    <s v="SIP-W"/>
    <x v="1"/>
    <n v="1000.9608768000001"/>
    <s v="JS"/>
  </r>
  <r>
    <s v="17412588"/>
    <s v="INF879O01027"/>
    <d v="2025-11-26T00:00:00"/>
    <n v="1052.74"/>
    <n v="94.995400000000004"/>
    <n v="52135804903"/>
    <s v="DK IDFC NRO"/>
    <s v="CC2-LAND SELL"/>
    <x v="3"/>
    <n v="100005.457396"/>
    <s v="DK"/>
  </r>
  <r>
    <s v="499424545351"/>
    <s v="INF204K01K15"/>
    <d v="2025-12-02T00:00:00"/>
    <n v="5.306"/>
    <n v="188.66210000000001"/>
    <m/>
    <s v="JS IDFC NRE"/>
    <s v="SIP-W"/>
    <x v="1"/>
    <n v="1001.0411026"/>
    <s v="JS"/>
  </r>
  <r>
    <s v="499424545351"/>
    <s v="INF204K01K15"/>
    <d v="2025-12-09T00:00:00"/>
    <n v="5.4279999999999999"/>
    <n v="184.41970000000001"/>
    <m/>
    <s v="JS IDFC NRE"/>
    <s v="SIP-W"/>
    <x v="1"/>
    <n v="1001.0301316"/>
    <s v="JS"/>
  </r>
  <r>
    <s v="17713086"/>
    <s v="INF879O01027"/>
    <d v="2025-12-10T00:00:00"/>
    <n v="1216.6410000000001"/>
    <n v="94.517799999999994"/>
    <m/>
    <s v="JS IDFC NRO"/>
    <s v="CC2-LAND SELL"/>
    <x v="3"/>
    <n v="114994.2307098"/>
    <s v="JS"/>
  </r>
  <r>
    <s v="19915197402"/>
    <s v="INF760K01JW4"/>
    <d v="2025-12-11T00:00:00"/>
    <n v="50.655999999999999"/>
    <n v="19.739999999999998"/>
    <m/>
    <s v="DK HDFC NRO"/>
    <s v="SIP"/>
    <x v="10"/>
    <n v="999.94943999999987"/>
    <s v="DK"/>
  </r>
  <r>
    <s v="499424545351"/>
    <s v="INF204K01K15"/>
    <d v="2025-12-16T00:00:00"/>
    <n v="5.4020000000000001"/>
    <n v="185.2962"/>
    <m/>
    <s v="JS IDFC NRE"/>
    <s v="SIP-W"/>
    <x v="1"/>
    <n v="1000.9700724"/>
    <s v="JS"/>
  </r>
  <r>
    <s v="79936204371"/>
    <s v="INF769K01BI1"/>
    <d v="2025-12-18T00:00:00"/>
    <n v="14.131"/>
    <n v="176.905"/>
    <m/>
    <s v="RS SBI"/>
    <s v="SIP"/>
    <x v="6"/>
    <n v="2499.8445550000001"/>
    <s v="RS"/>
  </r>
  <r>
    <s v="18917658"/>
    <s v="INF200K01T51"/>
    <d v="2025-12-19T00:00:00"/>
    <n v="15.696999999999999"/>
    <n v="191.1157"/>
    <m/>
    <s v="RS SBI"/>
    <s v="SIP"/>
    <x v="7"/>
    <n v="2999.9431429000001"/>
    <s v="RS"/>
  </r>
  <r>
    <s v="499424545351"/>
    <s v="INF204K01K15"/>
    <d v="2025-12-23T00:00:00"/>
    <n v="5.3440000000000003"/>
    <n v="187.2884"/>
    <m/>
    <s v="JS IDFC NRE"/>
    <s v="SIP-W"/>
    <x v="1"/>
    <n v="1000.8692096000001"/>
    <s v="JS"/>
  </r>
  <r>
    <s v="91093138814"/>
    <s v="INF846K01K35"/>
    <d v="2025-12-26T00:00:00"/>
    <n v="121.94"/>
    <n v="41.002000000000002"/>
    <m/>
    <s v="KOTAK M BANK - NRE"/>
    <s v="JAG SIP"/>
    <x v="9"/>
    <n v="4999.78388"/>
    <s v="DK"/>
  </r>
  <r>
    <s v="91093138965"/>
    <s v="INF846K01K35"/>
    <d v="2025-12-26T00:00:00"/>
    <n v="41.002000000000002"/>
    <n v="121.94"/>
    <m/>
    <s v="KOTAK M BANK - NRE"/>
    <s v="DIV SIP"/>
    <x v="9"/>
    <n v="4999.78388"/>
    <s v="DK"/>
  </r>
  <r>
    <s v="37959966"/>
    <s v="INF179K01LC5"/>
    <d v="2026-01-02T00:00:00"/>
    <n v="639.83500000000004"/>
    <n v="42.196300000000001"/>
    <m/>
    <s v="JS IDFC NRO"/>
    <s v="SGB Money Parking"/>
    <x v="15"/>
    <n v="26998.669610500001"/>
    <s v="JS"/>
  </r>
  <r>
    <s v="499424545351"/>
    <s v="INF204K01K15"/>
    <d v="2026-01-02T00:00:00"/>
    <n v="5.3170000000000002"/>
    <n v="188.27029999999999"/>
    <m/>
    <s v="JS IDFC NRE"/>
    <s v="SIP-W"/>
    <x v="1"/>
    <n v="1001.0331851"/>
    <s v="JS"/>
  </r>
  <r>
    <s v="17713086"/>
    <s v="INF879O01027"/>
    <d v="2026-01-09T00:00:00"/>
    <n v="1062.2570000000001"/>
    <n v="94.143900000000002"/>
    <m/>
    <s v="JS IDFC NRO"/>
    <s v="CC2-LAND SELL"/>
    <x v="3"/>
    <n v="100005.01678230001"/>
    <s v="JS"/>
  </r>
  <r>
    <s v="499424545351"/>
    <s v="INF204K01K15"/>
    <d v="2026-01-09T00:00:00"/>
    <n v="5.4939999999999998"/>
    <n v="182.1833"/>
    <m/>
    <s v="JS IDFC NRE"/>
    <s v="SIP-W"/>
    <x v="1"/>
    <n v="1000.9150502"/>
    <s v="JS"/>
  </r>
  <r>
    <s v="19915197402"/>
    <s v="INF760K01JW4"/>
    <d v="2026-01-12T00:00:00"/>
    <n v="50.966000000000001"/>
    <n v="19.62"/>
    <m/>
    <s v="DK HDFC NRO"/>
    <s v="SIP"/>
    <x v="10"/>
    <n v="999.95292000000006"/>
    <s v="DK"/>
  </r>
  <r>
    <s v="499424545351"/>
    <s v="INF204K01K15"/>
    <d v="2026-01-16T00:00:00"/>
    <n v="5.5149999999999997"/>
    <n v="181.50630000000001"/>
    <m/>
    <s v="JS IDFC NRE"/>
    <s v="SIP-W"/>
    <x v="1"/>
    <n v="1001.0072445"/>
    <s v="JS"/>
  </r>
  <r>
    <s v="18917658"/>
    <s v="INF200K01T51"/>
    <d v="2026-01-19T00:00:00"/>
    <n v="16.18"/>
    <n v="185.4042"/>
    <m/>
    <s v="RS SBI"/>
    <s v="SIP"/>
    <x v="7"/>
    <n v="2999.8399559999998"/>
    <s v="RS"/>
  </r>
  <r>
    <s v="79936204371"/>
    <s v="INF769K01BI1"/>
    <d v="2026-01-19T00:00:00"/>
    <n v="14.573"/>
    <n v="171.54400000000001"/>
    <m/>
    <s v="RS SBI"/>
    <s v="SIP"/>
    <x v="6"/>
    <n v="2499.9107120000003"/>
    <s v="RS"/>
  </r>
  <r>
    <s v="10510544"/>
    <s v="INF879O01027"/>
    <d v="2026-01-19T00:00:00"/>
    <n v="692.61"/>
    <n v="93.850399999999993"/>
    <n v="52146580391"/>
    <s v="KOTAK M BANK - NRE"/>
    <m/>
    <x v="3"/>
    <n v="65001.725543999994"/>
    <s v="DK"/>
  </r>
  <r>
    <s v="17713086"/>
    <s v="INF879O01027"/>
    <d v="2026-01-21T00:00:00"/>
    <n v="1079.0060000000001"/>
    <n v="92.664000000000001"/>
    <m/>
    <s v="JS IDFC NRO"/>
    <s v="CC2-LAND SELL"/>
    <x v="3"/>
    <n v="99985.011984000012"/>
    <s v="JS"/>
  </r>
  <r>
    <s v="499424545351"/>
    <s v="INF204K01K15"/>
    <d v="2026-01-23T00:00:00"/>
    <n v="5.7590000000000003"/>
    <n v="173.80179999999999"/>
    <m/>
    <s v="JS IDFC NRE"/>
    <s v="SIP-W"/>
    <x v="1"/>
    <n v="1000.9245662"/>
    <s v="JS"/>
  </r>
  <r>
    <s v="91093138814"/>
    <s v="INF846K01K35"/>
    <d v="2026-01-27T00:00:00"/>
    <n v="43.765000000000001"/>
    <n v="114.24"/>
    <m/>
    <s v="KOTAK M BANK - NRE"/>
    <s v="JAG SIP"/>
    <x v="9"/>
    <n v="4999.7136"/>
    <s v="DK"/>
  </r>
  <r>
    <s v="91093138965"/>
    <s v="INF846K01K35"/>
    <d v="2026-01-27T00:00:00"/>
    <n v="43.765000000000001"/>
    <n v="114.24"/>
    <m/>
    <s v="KOTAK M BANK - NRE"/>
    <s v="DIV SIP"/>
    <x v="9"/>
    <n v="4999.7136"/>
    <s v="DK"/>
  </r>
  <r>
    <s v="37959966"/>
    <s v="INF179KA1RW5"/>
    <d v="2026-01-30T00:00:00"/>
    <n v="32.698"/>
    <n v="152.905"/>
    <m/>
    <s v="JS IDFC NRO"/>
    <s v="JS Diversification"/>
    <x v="14"/>
    <n v="4999.6876899999997"/>
    <s v="JS"/>
  </r>
  <r>
    <s v="499424545351"/>
    <s v="INF204K01K15"/>
    <d v="2026-02-03T00:00:00"/>
    <n v="5.4889999999999999"/>
    <n v="182.34350000000001"/>
    <m/>
    <s v="JS IDFC NRE"/>
    <s v="SIP-W"/>
    <x v="1"/>
    <n v="1000.8834715"/>
    <s v="JS"/>
  </r>
  <r>
    <s v="17713086"/>
    <s v="INF879O01332 "/>
    <d v="2026-02-04T00:00:00"/>
    <n v="1500.425"/>
    <n v="10"/>
    <s v="NFO Purchase"/>
    <s v="JS IDFC NRO"/>
    <s v="Bhudhan Loan Return"/>
    <x v="16"/>
    <n v="15004.25"/>
    <s v="JS"/>
  </r>
  <r>
    <s v="17412588"/>
    <s v="INF879O01027"/>
    <d v="2026-02-09T00:00:00"/>
    <n v="5310.38"/>
    <n v="94.150599999999997"/>
    <n v="52150025707"/>
    <s v="DK IDFC NRO"/>
    <s v="CC2-LAND SELL"/>
    <x v="3"/>
    <n v="499975.46322799998"/>
    <s v="DK"/>
  </r>
  <r>
    <s v="499424545351"/>
    <s v="INF204K01K15"/>
    <d v="2026-02-10T00:00:00"/>
    <n v="5.3639999999999999"/>
    <n v="186.59979999999999"/>
    <m/>
    <s v="JS IDFC NRE"/>
    <s v="SIP-W"/>
    <x v="1"/>
    <n v="1000.9213272"/>
    <s v="JS"/>
  </r>
  <r>
    <s v="19915197402"/>
    <s v="INF760K01JW4"/>
    <d v="2026-02-11T00:00:00"/>
    <n v="50.732999999999997"/>
    <n v="19.71"/>
    <m/>
    <s v="DK HDFC NRO"/>
    <s v="SIP"/>
    <x v="10"/>
    <n v="999.94742999999994"/>
    <s v="DK"/>
  </r>
  <r>
    <s v="17713086"/>
    <s v="INF879O01027"/>
    <d v="2026-02-13T00:00:00"/>
    <n v="1085.702"/>
    <n v="92.065799999999996"/>
    <s v="Switch In"/>
    <s v="JS IDFC NRO"/>
    <s v="CC2-LAND SELL"/>
    <x v="3"/>
    <n v="99956.02319159999"/>
    <s v="JS"/>
  </r>
  <r>
    <s v="17713086"/>
    <s v="INF879O01332 "/>
    <d v="2026-02-16T00:00:00"/>
    <n v="7493.2560000000003"/>
    <n v="10.0085"/>
    <s v="Purchase"/>
    <s v="JS IDFC NRO"/>
    <s v="Bhudhan Loan Return"/>
    <x v="16"/>
    <n v="74996.252676000004"/>
    <s v="JS"/>
  </r>
  <r>
    <s v="499424545351"/>
    <s v="INF204K01K15"/>
    <d v="2026-02-17T00:00:00"/>
    <n v="5.4249999999999998"/>
    <n v="184.50479999999999"/>
    <m/>
    <s v="JS IDFC NRE"/>
    <s v="SIP-W"/>
    <x v="1"/>
    <n v="1000.9385399999999"/>
    <s v="JS"/>
  </r>
  <r>
    <s v="37959966"/>
    <s v="INF179KA1RW5"/>
    <d v="2026-02-18T00:00:00"/>
    <n v="291.375"/>
    <n v="154.60400000000001"/>
    <m/>
    <s v="JS IDFC NRO"/>
    <s v="JS Diversification"/>
    <x v="14"/>
    <n v="45047.740500000007"/>
    <s v="JS"/>
  </r>
  <r>
    <s v="37959966"/>
    <s v="INF179K01LC5"/>
    <d v="2026-02-18T00:00:00"/>
    <n v="53.231000000000002"/>
    <n v="46.963200000000001"/>
    <m/>
    <s v="JS IDFC NRO"/>
    <s v="SGB Money Parking"/>
    <x v="15"/>
    <n v="2499.8980992000002"/>
    <s v="JS"/>
  </r>
  <r>
    <s v="79936204371"/>
    <s v="INF769K01BI1"/>
    <d v="2026-02-18T00:00:00"/>
    <n v="14.319000000000001"/>
    <n v="174.58799999999999"/>
    <m/>
    <s v="RS SBI"/>
    <s v="SIP"/>
    <x v="6"/>
    <n v="2499.9255720000001"/>
    <s v="RS"/>
  </r>
  <r>
    <s v="17713086"/>
    <s v="INF879O01332 "/>
    <d v="2026-02-19T00:00:00"/>
    <n v="6049.893"/>
    <n v="9.9253"/>
    <s v="Purchase"/>
    <s v="JS IDFC NRO"/>
    <s v="Bhudhan Loan Return"/>
    <x v="16"/>
    <n v="60047.002992900001"/>
    <s v="JS"/>
  </r>
  <r>
    <s v="37959966"/>
    <s v="INF179KA1RW5"/>
    <d v="2026-02-19T00:00:00"/>
    <n v="65.307000000000002"/>
    <n v="153.11600000000001"/>
    <m/>
    <s v="JS IDFC NRO"/>
    <s v="JS Diversification"/>
    <x v="14"/>
    <n v="9999.5466120000019"/>
    <s v="JS"/>
  </r>
  <r>
    <s v="18917658"/>
    <s v="INF200K01T51"/>
    <d v="2026-02-19T00:00:00"/>
    <n v="16.071000000000002"/>
    <n v="186.66659999999999"/>
    <m/>
    <s v="RS SBI"/>
    <s v="SIP"/>
    <x v="7"/>
    <n v="2999.9189286000001"/>
    <s v="RS"/>
  </r>
  <r>
    <s v="17713086"/>
    <s v="INF879O01027"/>
    <d v="2026-02-20T00:00:00"/>
    <n v="537.66899999999998"/>
    <n v="92.929900000000004"/>
    <s v="Switch In"/>
    <s v="JS IDFC NRO"/>
    <s v="CC2-LAND SELL"/>
    <x v="3"/>
    <n v="49965.526403099997"/>
    <s v="JS"/>
  </r>
  <r>
    <s v="17713086"/>
    <s v="INF879O01332 "/>
    <d v="2026-02-20T00:00:00"/>
    <n v="1504.442"/>
    <n v="9.9733000000000001"/>
    <s v="Purchase"/>
    <s v="JS IDFC NRO"/>
    <s v="Bhudhan Loan Return"/>
    <x v="16"/>
    <n v="15004.251398599999"/>
    <s v="JS"/>
  </r>
  <r>
    <s v="17713086"/>
    <s v="INF879O01027"/>
    <d v="2026-02-23T00:00:00"/>
    <n v="535.72699999999998"/>
    <n v="93.242400000000004"/>
    <s v="Switch In"/>
    <s v="JS IDFC NRO"/>
    <s v="CC2-LAND SELL"/>
    <x v="3"/>
    <n v="49952.4712248"/>
    <s v="JS"/>
  </r>
  <r>
    <s v="499424545351"/>
    <s v="INF204K01K15"/>
    <d v="2026-02-24T00:00:00"/>
    <n v="5.476"/>
    <n v="182.7825"/>
    <m/>
    <s v="JS IDFC NRE"/>
    <s v="SIP-W"/>
    <x v="1"/>
    <n v="1000.91697"/>
    <s v="JS"/>
  </r>
  <r>
    <s v="91093138814"/>
    <s v="INF846K01K35"/>
    <d v="2026-02-25T00:00:00"/>
    <n v="41.689"/>
    <n v="119.93"/>
    <m/>
    <s v="KOTAK M BANK - NRE"/>
    <s v="JAG SIP"/>
    <x v="9"/>
    <n v="4999.7617700000001"/>
    <s v="DK"/>
  </r>
  <r>
    <s v="91093138965"/>
    <s v="INF846K01K35"/>
    <d v="2026-02-25T00:00:00"/>
    <n v="41.689"/>
    <n v="119.93"/>
    <m/>
    <s v="KOTAK M BANK - NRE"/>
    <s v="DIV SIP"/>
    <x v="9"/>
    <n v="4999.7617700000001"/>
    <s v="DK"/>
  </r>
  <r>
    <s v="37959966"/>
    <s v="INF179KA1RW5"/>
    <d v="2026-02-27T00:00:00"/>
    <n v="13.084"/>
    <n v="153.001"/>
    <m/>
    <s v="JS IDFC NRO"/>
    <s v="JS Diversification"/>
    <x v="14"/>
    <n v="2001.865084"/>
    <s v="JS"/>
  </r>
  <r>
    <s v="17713086"/>
    <s v="INF879O01027"/>
    <d v="2026-03-02T00:00:00"/>
    <n v="109.38"/>
    <n v="91.421999999999997"/>
    <n v="52153830078"/>
    <s v="JS IDFC NRO"/>
    <s v="CC2-LAND SELL"/>
    <x v="3"/>
    <n v="9999.7383599999994"/>
    <s v="JS"/>
  </r>
  <r>
    <s v="17713086"/>
    <s v="INF879O01332 "/>
    <d v="2026-03-02T00:00:00"/>
    <n v="2569.931"/>
    <n v="9.7273999999999994"/>
    <s v="Purchase"/>
    <s v="JS IDFC NRO"/>
    <s v="Bhudhan Loan Return"/>
    <x v="16"/>
    <n v="24998.7468094"/>
    <s v="JS"/>
  </r>
  <r>
    <s v="37959966"/>
    <s v="INF179KA1RW5"/>
    <d v="2026-03-04T00:00:00"/>
    <n v="20.393000000000001"/>
    <n v="147.101"/>
    <m/>
    <s v="JS IDFC NRO"/>
    <s v="JS Diversification"/>
    <x v="14"/>
    <n v="2999.8306929999999"/>
    <s v="JS"/>
  </r>
  <r>
    <s v="37959966"/>
    <s v="INF179K01LC5"/>
    <d v="2026-03-04T00:00:00"/>
    <n v="14.365"/>
    <n v="50.536900000000003"/>
    <m/>
    <s v="JS IDFC NRO"/>
    <s v="SGB Money Parking"/>
    <x v="15"/>
    <n v="725.96256850000009"/>
    <s v="JS"/>
  </r>
  <r>
    <s v="499424545351"/>
    <s v="INF204K01K15"/>
    <d v="2026-03-04T00:00:00"/>
    <n v="5.6769999999999996"/>
    <n v="176.30879999999999"/>
    <m/>
    <s v="JS IDFC NRE"/>
    <s v="SIP-W"/>
    <x v="1"/>
    <n v="1000.9050575999999"/>
    <s v="JS"/>
  </r>
  <r>
    <s v="499424545351"/>
    <s v="INF204K01K15"/>
    <d v="2026-03-10T00:00:00"/>
    <n v="5.6580000000000004"/>
    <n v="176.9058"/>
    <m/>
    <s v="JS IDFC NRE"/>
    <s v="SIP-W"/>
    <x v="1"/>
    <n v="1000.9330164"/>
    <s v="JS"/>
  </r>
  <r>
    <s v="19915197402"/>
    <s v="INF760K01JW4"/>
    <d v="2026-03-11T00:00:00"/>
    <n v="54.256999999999998"/>
    <n v="18.43"/>
    <m/>
    <s v="DK HDFC NRO"/>
    <s v="SIP"/>
    <x v="10"/>
    <n v="999.95650999999998"/>
    <s v="DK"/>
  </r>
  <r>
    <s v="499424545351"/>
    <s v="INF204K01K15"/>
    <d v="2026-03-17T00:00:00"/>
    <n v="5.806"/>
    <n v="172.4008"/>
    <m/>
    <s v="JS IDFC NRE"/>
    <s v="SIP-W"/>
    <x v="1"/>
    <n v="1000.9590448"/>
    <s v="JS"/>
  </r>
  <r>
    <s v="79936204371"/>
    <s v="INF769K01BI1"/>
    <d v="2026-03-18T00:00:00"/>
    <n v="15.606999999999999"/>
    <n v="160.17400000000001"/>
    <m/>
    <s v="RS SBI"/>
    <s v="SIP"/>
    <x v="6"/>
    <n v="2499.8356180000001"/>
    <s v="RS"/>
  </r>
  <r>
    <s v="18917658"/>
    <s v="INF200K01T51"/>
    <d v="2026-03-20T00:00:00"/>
    <n v="17.178999999999998"/>
    <n v="174.62049999999999"/>
    <m/>
    <s v="RS SBI"/>
    <s v="SIP"/>
    <x v="7"/>
    <n v="2999.8055694999998"/>
    <s v="RS"/>
  </r>
  <r>
    <s v="10121489"/>
    <s v="INF879O01332 "/>
    <d v="2026-03-23T00:00:00"/>
    <n v="568.81299999999999"/>
    <n v="8.7897999999999996"/>
    <m/>
    <s v="DK HDFC NRO"/>
    <s v="Stock To MF"/>
    <x v="16"/>
    <n v="4999.7525073999996"/>
    <s v="DK"/>
  </r>
  <r>
    <s v="499424545351"/>
    <s v="INF204K01K15"/>
    <d v="2026-03-24T00:00:00"/>
    <n v="5.9279999999999999"/>
    <n v="168.83770000000001"/>
    <m/>
    <s v="JS IDFC NRE"/>
    <s v="SIP-W"/>
    <x v="1"/>
    <n v="1000.8698856000001"/>
    <s v="JS"/>
  </r>
  <r>
    <s v="91093138814"/>
    <s v="INF846K01K35"/>
    <d v="2026-03-25T00:00:00"/>
    <n v="45.295999999999999"/>
    <n v="110.38"/>
    <m/>
    <s v="KOTAK M BANK - NRE"/>
    <s v="JAG SIP"/>
    <x v="9"/>
    <n v="4999.7724799999996"/>
    <s v="DK"/>
  </r>
  <r>
    <s v="91093138965"/>
    <s v="INF846K01K35"/>
    <d v="2026-03-25T00:00:00"/>
    <n v="45.295999999999999"/>
    <n v="110.38"/>
    <m/>
    <s v="KOTAK M BANK - NRE"/>
    <s v="DIV SIP"/>
    <x v="9"/>
    <n v="4999.7724799999996"/>
    <s v="DK"/>
  </r>
  <r>
    <s v="10121489"/>
    <s v="INF879O01332 "/>
    <d v="2026-03-27T00:00:00"/>
    <n v="112.214"/>
    <n v="8.9110999999999994"/>
    <m/>
    <s v="DK HDFC NRO"/>
    <s v="Stock To MF"/>
    <x v="16"/>
    <n v="999.95017539999992"/>
    <s v="DK"/>
  </r>
  <r>
    <s v="17713086"/>
    <s v="INF879O01027"/>
    <d v="2026-04-02T00:00:00"/>
    <n v="576.28"/>
    <n v="86.515500000000003"/>
    <n v="52159004992"/>
    <s v="JS IDFC NRO"/>
    <s v="CC2-LAND SELL"/>
    <x v="3"/>
    <n v="49857.152340000001"/>
    <s v="JS"/>
  </r>
  <r>
    <s v="17713086"/>
    <s v="INF879O01332 "/>
    <d v="2026-04-02T00:00:00"/>
    <n v="1123.625"/>
    <n v="8.8743999999999996"/>
    <s v="Switch In"/>
    <s v="JS IDFC NRO"/>
    <s v="Bhudhan Loan Return"/>
    <x v="16"/>
    <n v="9971.4976999999999"/>
    <s v="JS"/>
  </r>
  <r>
    <s v="499424545351"/>
    <s v="INF204K01K15"/>
    <d v="2026-04-02T00:00:00"/>
    <n v="5.89"/>
    <n v="169.9426"/>
    <m/>
    <s v="JS IDFC NRE"/>
    <s v="SIP-W"/>
    <x v="1"/>
    <n v="1000.961914"/>
    <s v="JS"/>
  </r>
  <r>
    <s v="17713086"/>
    <s v="INF879O01027"/>
    <d v="2026-04-06T00:00:00"/>
    <n v="170.86"/>
    <n v="87.490499999999997"/>
    <n v="52159626682"/>
    <s v="JS IDFC NRO"/>
    <s v="CC2-LAND SELL"/>
    <x v="3"/>
    <n v="14948.626830000001"/>
    <s v="JS"/>
  </r>
  <r>
    <s v="17713086"/>
    <s v="INF879O01332 "/>
    <d v="2026-04-06T00:00:00"/>
    <n v="1110.1400000000001"/>
    <n v="8.9768000000000008"/>
    <s v="Switch In"/>
    <s v="JS IDFC NRO"/>
    <s v="Bhudhan Loan Return"/>
    <x v="16"/>
    <n v="9965.5047520000026"/>
    <s v="JS"/>
  </r>
  <r>
    <s v="10510544"/>
    <s v="INF879O01027"/>
    <d v="2026-04-06T00:00:00"/>
    <n v="398.15"/>
    <n v="87.490499999999997"/>
    <n v="52159630150"/>
    <s v="KOTAK M BANK - NRE"/>
    <m/>
    <x v="3"/>
    <n v="34834.342574999995"/>
    <s v="DK"/>
  </r>
  <r>
    <s v="10121489"/>
    <s v="INF879O01027"/>
    <d v="2026-04-06T00:00:00"/>
    <n v="513.64"/>
    <n v="87.490499999999997"/>
    <n v="52159629967"/>
    <s v="DK HDFC NRO"/>
    <s v="Stock To MF"/>
    <x v="3"/>
    <n v="44938.620419999999"/>
    <s v="DK"/>
  </r>
  <r>
    <s v="10121489"/>
    <s v="INF879O01332 "/>
    <d v="2026-04-06T00:00:00"/>
    <n v="1668.66"/>
    <n v="8.9768000000000008"/>
    <n v="52159630068"/>
    <s v="DK HDFC NRO"/>
    <s v="Stock To MF"/>
    <x v="16"/>
    <n v="14979.227088000001"/>
    <s v="DK"/>
  </r>
  <r>
    <s v="10121489"/>
    <s v="INF879O01332 "/>
    <d v="2026-04-06T00:00:00"/>
    <n v="445.01"/>
    <n v="8.9768000000000008"/>
    <n v="52159630068"/>
    <s v="DK HDFC NRO"/>
    <s v="Stock To MF"/>
    <x v="16"/>
    <n v="3994.7657680000002"/>
    <s v="DK"/>
  </r>
  <r>
    <s v="17713086"/>
    <s v="INF879O01027"/>
    <d v="2026-04-08T00:00:00"/>
    <n v="1111.6400000000001"/>
    <n v="90.132499999999993"/>
    <n v="52160789796"/>
    <s v="JS IDFC NRO"/>
    <s v="CC2-LAND SELL"/>
    <x v="3"/>
    <n v="100194.89230000001"/>
    <s v="JS"/>
  </r>
  <r>
    <s v="17713086"/>
    <s v="INF879O01027"/>
    <d v="2026-04-09T00:00:00"/>
    <n v="2488.65"/>
    <n v="90.073700000000002"/>
    <n v="52160789023"/>
    <s v="JS IDFC NRO"/>
    <s v="CC2-LAND SELL"/>
    <x v="3"/>
    <n v="224161.913505"/>
    <s v="JS"/>
  </r>
  <r>
    <s v="17713086"/>
    <s v="INF879O01332 "/>
    <d v="2026-04-09T00:00:00"/>
    <n v="9620.5529999999999"/>
    <n v="9.3201000000000001"/>
    <s v="Switch In"/>
    <s v="JS IDFC NRO"/>
    <s v="Bhudhan Loan Return"/>
    <x v="16"/>
    <n v="89664.516015300003"/>
    <s v="JS"/>
  </r>
  <r>
    <s v="37959966"/>
    <s v="INF179KA1RW5"/>
    <d v="2026-04-09T00:00:00"/>
    <n v="34.341999999999999"/>
    <n v="145.58500000000001"/>
    <m/>
    <s v="JS IDFC NRO"/>
    <s v="JS Diversification"/>
    <x v="14"/>
    <n v="4999.6800700000003"/>
    <s v="JS"/>
  </r>
  <r>
    <s v="499424545351"/>
    <s v="INF204K01K15"/>
    <d v="2026-04-09T00:00:00"/>
    <n v="5.6219999999999999"/>
    <n v="178.04159999999999"/>
    <m/>
    <s v="JS IDFC NRE"/>
    <s v="SIP-W"/>
    <x v="1"/>
    <n v="1000.9498752"/>
    <s v="JS"/>
  </r>
  <r>
    <s v="10121489"/>
    <s v="INF879O01027"/>
    <d v="2026-04-09T00:00:00"/>
    <n v="1718"/>
    <n v="90.073700000000002"/>
    <n v="52160769171"/>
    <s v="DK HDFC NRO"/>
    <s v="Stock To MF"/>
    <x v="3"/>
    <n v="154746.61660000001"/>
    <s v="DK"/>
  </r>
  <r>
    <s v="10121489"/>
    <s v="INF879O01332 "/>
    <d v="2026-04-09T00:00:00"/>
    <n v="16603.5"/>
    <n v="9.3201000000000001"/>
    <n v="52160788483"/>
    <s v="DK HDFC NRO"/>
    <s v="Stock To MF"/>
    <x v="16"/>
    <n v="154746.28034999999"/>
    <s v="DK"/>
  </r>
  <r>
    <s v="19915197402"/>
    <s v="INF760K01JW4"/>
    <d v="2026-04-13T00:00:00"/>
    <n v="52.573999999999998"/>
    <n v="19.02"/>
    <m/>
    <s v="DK HDFC NRO"/>
    <s v="SIP"/>
    <x v="10"/>
    <n v="999.95747999999992"/>
    <s v="DK"/>
  </r>
  <r>
    <s v="499424545351"/>
    <s v="INF204K01K15"/>
    <d v="2026-04-16T00:00:00"/>
    <n v="5.3719999999999999"/>
    <n v="186.33519999999999"/>
    <m/>
    <s v="JS IDFC NRE"/>
    <s v="SIP-W"/>
    <x v="1"/>
    <n v="1000.9926943999999"/>
    <s v="JS"/>
  </r>
  <r>
    <s v="18917658"/>
    <s v="INF200K01T51"/>
    <d v="2026-04-20T00:00:00"/>
    <n v="15.701000000000001"/>
    <n v="191.0583"/>
    <n v="7394678784"/>
    <s v="RS SBI"/>
    <s v="SIP"/>
    <x v="7"/>
    <n v="2999.8063683"/>
    <s v="RS"/>
  </r>
  <r>
    <s v="79936204371"/>
    <s v="INF769K01BI1"/>
    <d v="2026-04-20T00:00:00"/>
    <n v="14.579000000000001"/>
    <n v="171.47200000000001"/>
    <m/>
    <s v="RS SBI"/>
    <s v="SIP"/>
    <x v="6"/>
    <n v="2499.8902880000001"/>
    <s v="RS"/>
  </r>
  <r>
    <s v="10510544"/>
    <s v="INF879O01027"/>
    <d v="2026-04-21T00:00:00"/>
    <n v="165.55"/>
    <n v="92.191299999999998"/>
    <n v="52163150271"/>
    <s v="KOTAK M BANK - NRE"/>
    <m/>
    <x v="3"/>
    <n v="15262.269715"/>
    <s v="DK"/>
  </r>
  <r>
    <s v="499424545351"/>
    <s v="INF204K01K15"/>
    <d v="2026-04-23T00:00:00"/>
    <n v="5.234"/>
    <n v="191.24440000000001"/>
    <m/>
    <s v="JS IDFC NRE"/>
    <s v="SIP-W"/>
    <x v="1"/>
    <n v="1000.9731896000001"/>
    <s v="JS"/>
  </r>
  <r>
    <s v="10121489"/>
    <s v="INF879O01332 "/>
    <d v="2026-04-23T00:00:00"/>
    <n v="2089.14"/>
    <n v="9.5494000000000003"/>
    <n v="52163393158"/>
    <s v="DK HDFC NRO"/>
    <s v="Stock To MF"/>
    <x v="16"/>
    <n v="19950.033516"/>
    <s v="DK"/>
  </r>
  <r>
    <s v="19915197402"/>
    <s v="INF760K01JC6"/>
    <d v="2026-04-24T00:00:00"/>
    <n v="262.07900000000001"/>
    <n v="41.97"/>
    <m/>
    <s v="DK HDFC NRO"/>
    <s v="Sonarpure Flat sell"/>
    <x v="12"/>
    <n v="10999.45563"/>
    <s v="DK"/>
  </r>
  <r>
    <s v="91093138814"/>
    <s v="INF846K01K35"/>
    <d v="2026-04-27T00:00:00"/>
    <n v="40.758000000000003"/>
    <n v="122.67"/>
    <m/>
    <s v="KOTAK M BANK - NRE"/>
    <s v="JAG SIP"/>
    <x v="9"/>
    <n v="4999.7838600000005"/>
    <s v="DK"/>
  </r>
  <r>
    <s v="91093138965"/>
    <s v="INF846K01K35"/>
    <d v="2026-04-27T00:00:00"/>
    <n v="40.758000000000003"/>
    <n v="122.67"/>
    <m/>
    <s v="KOTAK M BANK - NRE"/>
    <s v="DIV SIP"/>
    <x v="9"/>
    <n v="4999.7838600000005"/>
    <s v="DK"/>
  </r>
  <r>
    <s v="17412588"/>
    <s v="INF879O01027"/>
    <d v="2026-04-27T00:00:00"/>
    <n v="823.76"/>
    <n v="91.041799999999995"/>
    <n v="52164278884"/>
    <s v="DK IDFC NRO"/>
    <s v="CC2-LAND SELL"/>
    <x v="3"/>
    <n v="74996.593167999992"/>
    <s v="DK"/>
  </r>
  <r>
    <s v="17713086"/>
    <s v="INF879O01027 "/>
    <d v="2026-04-27T00:00:00"/>
    <n v="1093.18"/>
    <n v="91.041799999999995"/>
    <n v="52163914958"/>
    <s v="JS IDFC NRO"/>
    <s v="CC2-LAND SELL"/>
    <x v="3"/>
    <n v="99525.074924"/>
    <s v="JS"/>
  </r>
  <r>
    <s v="10510544"/>
    <s v="INF879O01332 "/>
    <d v="2026-04-27T00:00:00"/>
    <n v="1042.3499999999999"/>
    <n v="9.5375999999999994"/>
    <n v="52163913005"/>
    <s v="KOTAK M BANK - NRE"/>
    <s v="Switch-In from Lqd Fund"/>
    <x v="16"/>
    <n v="9941.517359999998"/>
    <s v="DK"/>
  </r>
  <r>
    <s v="10121489"/>
    <s v="INF879O01027"/>
    <d v="2026-04-27T00:00:00"/>
    <n v="1095.46"/>
    <n v="91.041799999999995"/>
    <n v="52163914849"/>
    <s v="DK HDFC NRO"/>
    <s v="Stock To MF"/>
    <x v="3"/>
    <n v="99732.650227999999"/>
    <s v="DK"/>
  </r>
  <r>
    <s v="10121489"/>
    <s v="INF879O01332 "/>
    <d v="2026-04-27T00:00:00"/>
    <n v="10456.83"/>
    <n v="9.5375999999999994"/>
    <n v="52163393158"/>
    <s v="DK HDFC NRO"/>
    <s v="Stock To MF"/>
    <x v="16"/>
    <n v="99733.061807999999"/>
    <s v="DK"/>
  </r>
  <r>
    <s v="17412588"/>
    <s v="INF879O01027"/>
    <d v="2026-04-28T00:00:00"/>
    <n v="38.58"/>
    <n v="90.726399999999998"/>
    <n v="52164516618"/>
    <s v="DK IDFC NRO"/>
    <s v="CC2-LAND SELL"/>
    <x v="3"/>
    <n v="3500.2245119999998"/>
    <s v="DK"/>
  </r>
  <r>
    <s v="19915197402"/>
    <s v="INF760K01JC6"/>
    <d v="2026-04-29T00:00:00"/>
    <n v="116.735"/>
    <n v="42.83"/>
    <m/>
    <s v="DK HDFC NRO"/>
    <s v="Sonarpure Flat sell"/>
    <x v="12"/>
    <n v="4999.7600499999999"/>
    <s v="DK"/>
  </r>
  <r>
    <s v="10510544"/>
    <s v="INF879O01332 "/>
    <d v="2026-04-29T00:00:00"/>
    <n v="1040.25"/>
    <n v="9.5558999999999994"/>
    <n v="52164519656"/>
    <s v="KOTAK M BANK - NRE"/>
    <s v="Switch-In from Lqd Fund"/>
    <x v="16"/>
    <n v="9940.5249750000003"/>
    <s v="DK"/>
  </r>
  <r>
    <s v="10121489"/>
    <s v="INF879O01332 "/>
    <d v="2026-04-29T00:00:00"/>
    <n v="5276.1620000000003"/>
    <n v="9.5558999999999994"/>
    <n v="52164518494"/>
    <s v="DK HDFC NRO"/>
    <s v="Stock To MF"/>
    <x v="16"/>
    <n v="50418.476455800002"/>
    <s v="DK"/>
  </r>
  <r>
    <s v="10121489"/>
    <s v="INF879O01027"/>
    <d v="2026-04-29T00:00:00"/>
    <n v="551.60900000000004"/>
    <n v="91.402600000000007"/>
    <n v="52164518064"/>
    <s v="DK HDFC NRO"/>
    <s v="Stock To MF"/>
    <x v="3"/>
    <n v="50418.496783400005"/>
    <s v="DK"/>
  </r>
  <r>
    <s v="910146844882"/>
    <s v="INF846K01K35"/>
    <d v="2022-02-11T00:00:00"/>
    <n v="74.168999999999997"/>
    <n v="67.41"/>
    <m/>
    <s v="RS SBI"/>
    <m/>
    <x v="9"/>
    <n v="4999.7322899999999"/>
    <s v="RS"/>
  </r>
  <r>
    <s v="910146844882"/>
    <s v="INF846K01K35"/>
    <d v="2022-02-22T00:00:00"/>
    <n v="38.799999999999997"/>
    <n v="64.430000000000007"/>
    <m/>
    <s v="RS SBI"/>
    <m/>
    <x v="9"/>
    <n v="2499.884"/>
    <s v="RS"/>
  </r>
  <r>
    <s v="910146844882"/>
    <s v="INF846K01K35"/>
    <d v="2022-03-02T00:00:00"/>
    <n v="30.838999999999999"/>
    <n v="64.849999999999994"/>
    <m/>
    <s v="RS SBI"/>
    <m/>
    <x v="9"/>
    <n v="1999.9091499999997"/>
    <s v="RS"/>
  </r>
  <r>
    <s v="910146844882"/>
    <s v="INF846K01K35"/>
    <d v="2022-03-03T00:00:00"/>
    <n v="23.131"/>
    <n v="65.06"/>
    <m/>
    <s v="RS SBI"/>
    <m/>
    <x v="9"/>
    <n v="1504.9028600000001"/>
    <s v="RS"/>
  </r>
  <r>
    <m/>
    <m/>
    <m/>
    <m/>
    <m/>
    <m/>
    <m/>
    <m/>
    <x v="17"/>
    <m/>
    <m/>
  </r>
  <r>
    <m/>
    <m/>
    <m/>
    <m/>
    <m/>
    <m/>
    <m/>
    <m/>
    <x v="17"/>
    <m/>
    <m/>
  </r>
  <r>
    <m/>
    <m/>
    <m/>
    <m/>
    <m/>
    <m/>
    <m/>
    <m/>
    <x v="17"/>
    <m/>
    <m/>
  </r>
  <r>
    <m/>
    <m/>
    <m/>
    <m/>
    <m/>
    <m/>
    <m/>
    <m/>
    <x v="17"/>
    <m/>
    <m/>
  </r>
  <r>
    <m/>
    <m/>
    <m/>
    <m/>
    <m/>
    <m/>
    <m/>
    <m/>
    <x v="17"/>
    <m/>
    <m/>
  </r>
  <r>
    <m/>
    <m/>
    <m/>
    <m/>
    <m/>
    <m/>
    <m/>
    <m/>
    <x v="17"/>
    <m/>
    <m/>
  </r>
  <r>
    <m/>
    <m/>
    <m/>
    <m/>
    <m/>
    <m/>
    <m/>
    <m/>
    <x v="17"/>
    <m/>
    <m/>
  </r>
  <r>
    <m/>
    <m/>
    <m/>
    <m/>
    <m/>
    <m/>
    <m/>
    <m/>
    <x v="17"/>
    <m/>
    <m/>
  </r>
  <r>
    <m/>
    <m/>
    <m/>
    <m/>
    <m/>
    <m/>
    <m/>
    <m/>
    <x v="17"/>
    <m/>
    <m/>
  </r>
  <r>
    <m/>
    <m/>
    <m/>
    <m/>
    <m/>
    <m/>
    <m/>
    <m/>
    <x v="17"/>
    <m/>
    <m/>
  </r>
  <r>
    <m/>
    <m/>
    <m/>
    <m/>
    <m/>
    <m/>
    <m/>
    <m/>
    <x v="17"/>
    <m/>
    <m/>
  </r>
  <r>
    <m/>
    <m/>
    <m/>
    <m/>
    <m/>
    <m/>
    <m/>
    <m/>
    <x v="17"/>
    <m/>
    <m/>
  </r>
  <r>
    <m/>
    <m/>
    <m/>
    <n v="425762.65440421336"/>
    <n v="59.916199850509756"/>
    <m/>
    <m/>
    <m/>
    <x v="17"/>
    <n v="25510080.290166367"/>
    <m/>
  </r>
  <r>
    <m/>
    <m/>
    <m/>
    <m/>
    <m/>
    <m/>
    <m/>
    <m/>
    <x v="1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30781-55DF-4D74-9366-FAD283A7FDB6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2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9"/>
        <item x="4"/>
        <item x="12"/>
        <item x="10"/>
        <item x="15"/>
        <item x="14"/>
        <item x="8"/>
        <item x="11"/>
        <item x="6"/>
        <item x="1"/>
        <item x="13"/>
        <item x="3"/>
        <item x="16"/>
        <item x="0"/>
        <item x="7"/>
        <item x="2"/>
        <item x="5"/>
        <item x="17"/>
        <item t="default"/>
      </items>
    </pivotField>
    <pivotField showAll="0"/>
    <pivotField showAll="0"/>
  </pivotFields>
  <rowFields count="1">
    <field x="8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AF49-022D-45F6-BEF7-CC456EBB555D}">
  <dimension ref="A3:A22"/>
  <sheetViews>
    <sheetView tabSelected="1" workbookViewId="0">
      <selection activeCell="B13" sqref="B13"/>
    </sheetView>
  </sheetViews>
  <sheetFormatPr defaultRowHeight="14.5" x14ac:dyDescent="0.35"/>
  <cols>
    <col min="1" max="1" width="57.26953125" bestFit="1" customWidth="1"/>
    <col min="2" max="18" width="59.1796875" bestFit="1" customWidth="1"/>
    <col min="19" max="19" width="10.36328125" bestFit="1" customWidth="1"/>
  </cols>
  <sheetData>
    <row r="3" spans="1:1" x14ac:dyDescent="0.35">
      <c r="A3" s="41" t="s">
        <v>109</v>
      </c>
    </row>
    <row r="4" spans="1:1" x14ac:dyDescent="0.35">
      <c r="A4" s="42" t="s">
        <v>55</v>
      </c>
    </row>
    <row r="5" spans="1:1" x14ac:dyDescent="0.35">
      <c r="A5" s="42" t="s">
        <v>30</v>
      </c>
    </row>
    <row r="6" spans="1:1" x14ac:dyDescent="0.35">
      <c r="A6" s="42" t="s">
        <v>73</v>
      </c>
    </row>
    <row r="7" spans="1:1" x14ac:dyDescent="0.35">
      <c r="A7" s="42" t="s">
        <v>57</v>
      </c>
    </row>
    <row r="8" spans="1:1" x14ac:dyDescent="0.35">
      <c r="A8" s="42" t="s">
        <v>97</v>
      </c>
    </row>
    <row r="9" spans="1:1" x14ac:dyDescent="0.35">
      <c r="A9" s="42" t="s">
        <v>92</v>
      </c>
    </row>
    <row r="10" spans="1:1" x14ac:dyDescent="0.35">
      <c r="A10" s="42" t="s">
        <v>52</v>
      </c>
    </row>
    <row r="11" spans="1:1" x14ac:dyDescent="0.35">
      <c r="A11" s="42" t="s">
        <v>63</v>
      </c>
    </row>
    <row r="12" spans="1:1" x14ac:dyDescent="0.35">
      <c r="A12" s="42" t="s">
        <v>41</v>
      </c>
    </row>
    <row r="13" spans="1:1" x14ac:dyDescent="0.35">
      <c r="A13" s="42" t="s">
        <v>19</v>
      </c>
    </row>
    <row r="14" spans="1:1" x14ac:dyDescent="0.35">
      <c r="A14" s="42" t="s">
        <v>76</v>
      </c>
    </row>
    <row r="15" spans="1:1" x14ac:dyDescent="0.35">
      <c r="A15" s="42" t="s">
        <v>26</v>
      </c>
    </row>
    <row r="16" spans="1:1" x14ac:dyDescent="0.35">
      <c r="A16" s="42" t="s">
        <v>101</v>
      </c>
    </row>
    <row r="17" spans="1:1" x14ac:dyDescent="0.35">
      <c r="A17" s="42" t="s">
        <v>15</v>
      </c>
    </row>
    <row r="18" spans="1:1" x14ac:dyDescent="0.35">
      <c r="A18" s="42" t="s">
        <v>43</v>
      </c>
    </row>
    <row r="19" spans="1:1" x14ac:dyDescent="0.35">
      <c r="A19" s="42" t="s">
        <v>23</v>
      </c>
    </row>
    <row r="20" spans="1:1" x14ac:dyDescent="0.35">
      <c r="A20" s="42" t="s">
        <v>36</v>
      </c>
    </row>
    <row r="21" spans="1:1" x14ac:dyDescent="0.35">
      <c r="A21" s="42" t="s">
        <v>107</v>
      </c>
    </row>
    <row r="22" spans="1:1" x14ac:dyDescent="0.35">
      <c r="A22" s="42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2D76-0D7F-452B-87C2-279772388BD8}">
  <dimension ref="A1:N1423"/>
  <sheetViews>
    <sheetView showGridLines="0" workbookViewId="0">
      <pane xSplit="8" ySplit="1" topLeftCell="I1239" activePane="bottomRight" state="frozen"/>
      <selection pane="topRight" activeCell="I1" sqref="I1"/>
      <selection pane="bottomLeft" activeCell="A2" sqref="A2"/>
      <selection pane="bottomRight" sqref="A1:XFD1048576"/>
    </sheetView>
  </sheetViews>
  <sheetFormatPr defaultRowHeight="14.5" x14ac:dyDescent="0.35"/>
  <cols>
    <col min="1" max="1" width="13.90625" bestFit="1" customWidth="1"/>
    <col min="2" max="2" width="13.26953125" bestFit="1" customWidth="1"/>
    <col min="3" max="3" width="16.36328125" bestFit="1" customWidth="1"/>
    <col min="4" max="4" width="13.08984375" bestFit="1" customWidth="1"/>
    <col min="5" max="5" width="13" customWidth="1"/>
    <col min="6" max="6" width="13.90625" bestFit="1" customWidth="1"/>
    <col min="7" max="7" width="18.36328125" bestFit="1" customWidth="1"/>
    <col min="8" max="8" width="27.81640625" bestFit="1" customWidth="1"/>
    <col min="9" max="9" width="46.81640625" bestFit="1" customWidth="1"/>
    <col min="10" max="10" width="13.1796875" bestFit="1" customWidth="1"/>
    <col min="11" max="11" width="12.54296875" style="40" bestFit="1" customWidth="1"/>
  </cols>
  <sheetData>
    <row r="1" spans="1:14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/>
      <c r="M1" s="2"/>
      <c r="N1" s="4"/>
    </row>
    <row r="2" spans="1:14" x14ac:dyDescent="0.35">
      <c r="A2" s="5" t="s">
        <v>11</v>
      </c>
      <c r="B2" s="6" t="s">
        <v>12</v>
      </c>
      <c r="C2" s="7">
        <v>43069</v>
      </c>
      <c r="D2" s="8">
        <v>253.84399999999999</v>
      </c>
      <c r="E2" s="8">
        <v>39.394199999999998</v>
      </c>
      <c r="F2" s="6"/>
      <c r="G2" s="6" t="s">
        <v>13</v>
      </c>
      <c r="H2" s="6" t="s">
        <v>14</v>
      </c>
      <c r="I2" s="6" t="s">
        <v>15</v>
      </c>
      <c r="J2" s="9">
        <f t="shared" ref="J2:J65" si="0">D2*E2</f>
        <v>9999.9813047999996</v>
      </c>
      <c r="K2" s="10" t="s">
        <v>16</v>
      </c>
      <c r="L2" s="6"/>
      <c r="M2" s="6"/>
      <c r="N2" s="11"/>
    </row>
    <row r="3" spans="1:14" x14ac:dyDescent="0.35">
      <c r="A3" s="5" t="s">
        <v>17</v>
      </c>
      <c r="B3" s="6" t="s">
        <v>18</v>
      </c>
      <c r="C3" s="12">
        <v>43081</v>
      </c>
      <c r="D3" s="8">
        <v>106.298</v>
      </c>
      <c r="E3" s="8">
        <v>47.037399999999998</v>
      </c>
      <c r="F3" s="13"/>
      <c r="G3" s="6" t="s">
        <v>13</v>
      </c>
      <c r="H3" s="13"/>
      <c r="I3" s="6" t="s">
        <v>19</v>
      </c>
      <c r="J3" s="9">
        <f t="shared" si="0"/>
        <v>4999.9815452000003</v>
      </c>
      <c r="K3" s="10" t="s">
        <v>16</v>
      </c>
      <c r="L3" s="13"/>
      <c r="M3" s="13"/>
      <c r="N3" s="14"/>
    </row>
    <row r="4" spans="1:14" x14ac:dyDescent="0.35">
      <c r="A4" s="5" t="s">
        <v>17</v>
      </c>
      <c r="B4" s="6" t="s">
        <v>18</v>
      </c>
      <c r="C4" s="12">
        <v>43101</v>
      </c>
      <c r="D4" s="8">
        <v>100.07299999999999</v>
      </c>
      <c r="E4" s="8">
        <v>49.963299999999997</v>
      </c>
      <c r="F4" s="13"/>
      <c r="G4" s="6" t="s">
        <v>13</v>
      </c>
      <c r="H4" s="13"/>
      <c r="I4" s="6" t="s">
        <v>19</v>
      </c>
      <c r="J4" s="9">
        <f t="shared" si="0"/>
        <v>4999.9773208999995</v>
      </c>
      <c r="K4" s="10" t="s">
        <v>16</v>
      </c>
      <c r="L4" s="13"/>
      <c r="M4" s="13"/>
      <c r="N4" s="14"/>
    </row>
    <row r="5" spans="1:14" x14ac:dyDescent="0.35">
      <c r="A5" s="5" t="s">
        <v>17</v>
      </c>
      <c r="B5" s="6" t="s">
        <v>18</v>
      </c>
      <c r="C5" s="12">
        <v>43110</v>
      </c>
      <c r="D5" s="8">
        <v>96.694000000000003</v>
      </c>
      <c r="E5" s="8">
        <v>51.709699999999998</v>
      </c>
      <c r="F5" s="13"/>
      <c r="G5" s="6" t="s">
        <v>13</v>
      </c>
      <c r="H5" s="13"/>
      <c r="I5" s="6" t="s">
        <v>19</v>
      </c>
      <c r="J5" s="9">
        <f t="shared" si="0"/>
        <v>5000.0177317999996</v>
      </c>
      <c r="K5" s="10" t="s">
        <v>16</v>
      </c>
      <c r="L5" s="13"/>
      <c r="M5" s="13"/>
      <c r="N5" s="14"/>
    </row>
    <row r="6" spans="1:14" x14ac:dyDescent="0.35">
      <c r="A6" s="5" t="s">
        <v>11</v>
      </c>
      <c r="B6" s="6" t="s">
        <v>12</v>
      </c>
      <c r="C6" s="12">
        <v>43110</v>
      </c>
      <c r="D6" s="8">
        <v>122.1</v>
      </c>
      <c r="E6" s="8">
        <v>40.950000000000003</v>
      </c>
      <c r="F6" s="13"/>
      <c r="G6" s="6" t="s">
        <v>13</v>
      </c>
      <c r="H6" s="13" t="s">
        <v>14</v>
      </c>
      <c r="I6" s="6" t="s">
        <v>15</v>
      </c>
      <c r="J6" s="9">
        <f t="shared" si="0"/>
        <v>4999.9949999999999</v>
      </c>
      <c r="K6" s="10" t="s">
        <v>16</v>
      </c>
      <c r="L6" s="13"/>
      <c r="M6" s="13"/>
      <c r="N6" s="14"/>
    </row>
    <row r="7" spans="1:14" x14ac:dyDescent="0.35">
      <c r="A7" s="5" t="s">
        <v>17</v>
      </c>
      <c r="B7" s="6" t="s">
        <v>18</v>
      </c>
      <c r="C7" s="12">
        <v>43112</v>
      </c>
      <c r="D7" s="8">
        <v>192.607</v>
      </c>
      <c r="E7" s="8">
        <v>51.919199999999996</v>
      </c>
      <c r="F7" s="13"/>
      <c r="G7" s="6" t="s">
        <v>13</v>
      </c>
      <c r="H7" s="13"/>
      <c r="I7" s="6" t="s">
        <v>19</v>
      </c>
      <c r="J7" s="9">
        <f t="shared" si="0"/>
        <v>10000.001354399999</v>
      </c>
      <c r="K7" s="15" t="s">
        <v>16</v>
      </c>
      <c r="L7" s="13"/>
      <c r="M7" s="13"/>
      <c r="N7" s="14"/>
    </row>
    <row r="8" spans="1:14" x14ac:dyDescent="0.35">
      <c r="A8" s="5" t="s">
        <v>17</v>
      </c>
      <c r="B8" s="6" t="s">
        <v>18</v>
      </c>
      <c r="C8" s="12">
        <v>43116</v>
      </c>
      <c r="D8" s="8">
        <v>97.649000000000001</v>
      </c>
      <c r="E8" s="8">
        <v>51.203899999999997</v>
      </c>
      <c r="F8" s="13"/>
      <c r="G8" s="6" t="s">
        <v>13</v>
      </c>
      <c r="H8" s="13"/>
      <c r="I8" s="6" t="s">
        <v>19</v>
      </c>
      <c r="J8" s="9">
        <f t="shared" si="0"/>
        <v>5000.0096310999998</v>
      </c>
      <c r="K8" s="15" t="s">
        <v>16</v>
      </c>
      <c r="L8" s="13"/>
      <c r="M8" s="13"/>
      <c r="N8" s="14"/>
    </row>
    <row r="9" spans="1:14" x14ac:dyDescent="0.35">
      <c r="A9" s="5" t="s">
        <v>17</v>
      </c>
      <c r="B9" s="6" t="s">
        <v>18</v>
      </c>
      <c r="C9" s="12">
        <v>43119</v>
      </c>
      <c r="D9" s="8">
        <v>98.694000000000003</v>
      </c>
      <c r="E9" s="8">
        <v>50.661700000000003</v>
      </c>
      <c r="F9" s="13"/>
      <c r="G9" s="6" t="s">
        <v>13</v>
      </c>
      <c r="H9" s="13"/>
      <c r="I9" s="6" t="s">
        <v>19</v>
      </c>
      <c r="J9" s="9">
        <f t="shared" si="0"/>
        <v>5000.0058198000006</v>
      </c>
      <c r="K9" s="15" t="s">
        <v>16</v>
      </c>
      <c r="L9" s="13"/>
      <c r="M9" s="13"/>
      <c r="N9" s="14"/>
    </row>
    <row r="10" spans="1:14" x14ac:dyDescent="0.35">
      <c r="A10" s="5" t="s">
        <v>17</v>
      </c>
      <c r="B10" s="6" t="s">
        <v>18</v>
      </c>
      <c r="C10" s="12">
        <v>43130</v>
      </c>
      <c r="D10" s="8">
        <v>101.693</v>
      </c>
      <c r="E10" s="8">
        <v>49.167700000000004</v>
      </c>
      <c r="F10" s="13"/>
      <c r="G10" s="6" t="s">
        <v>13</v>
      </c>
      <c r="H10" s="13"/>
      <c r="I10" s="6" t="s">
        <v>19</v>
      </c>
      <c r="J10" s="9">
        <f t="shared" si="0"/>
        <v>5000.0109161</v>
      </c>
      <c r="K10" s="15" t="s">
        <v>16</v>
      </c>
      <c r="L10" s="13"/>
      <c r="M10" s="13"/>
      <c r="N10" s="14"/>
    </row>
    <row r="11" spans="1:14" x14ac:dyDescent="0.35">
      <c r="A11" s="5" t="s">
        <v>17</v>
      </c>
      <c r="B11" s="6" t="s">
        <v>18</v>
      </c>
      <c r="C11" s="12">
        <v>43131</v>
      </c>
      <c r="D11" s="8">
        <v>102.505</v>
      </c>
      <c r="E11" s="8">
        <v>48.777900000000002</v>
      </c>
      <c r="F11" s="13"/>
      <c r="G11" s="6" t="s">
        <v>13</v>
      </c>
      <c r="H11" s="13"/>
      <c r="I11" s="6" t="s">
        <v>19</v>
      </c>
      <c r="J11" s="9">
        <f t="shared" si="0"/>
        <v>4999.9786395000001</v>
      </c>
      <c r="K11" s="15" t="s">
        <v>16</v>
      </c>
      <c r="L11" s="13"/>
      <c r="M11" s="13"/>
      <c r="N11" s="14"/>
    </row>
    <row r="12" spans="1:14" x14ac:dyDescent="0.35">
      <c r="A12" s="5" t="s">
        <v>17</v>
      </c>
      <c r="B12" s="6" t="s">
        <v>18</v>
      </c>
      <c r="C12" s="12">
        <v>43132</v>
      </c>
      <c r="D12" s="8">
        <v>204.214</v>
      </c>
      <c r="E12" s="8">
        <v>48.968299999999999</v>
      </c>
      <c r="F12" s="13"/>
      <c r="G12" s="6" t="s">
        <v>13</v>
      </c>
      <c r="H12" s="13"/>
      <c r="I12" s="6" t="s">
        <v>19</v>
      </c>
      <c r="J12" s="9">
        <f t="shared" si="0"/>
        <v>10000.012416199999</v>
      </c>
      <c r="K12" s="15" t="s">
        <v>16</v>
      </c>
      <c r="L12" s="13"/>
      <c r="M12" s="13"/>
      <c r="N12" s="14"/>
    </row>
    <row r="13" spans="1:14" x14ac:dyDescent="0.35">
      <c r="A13" s="5" t="s">
        <v>11</v>
      </c>
      <c r="B13" s="6" t="s">
        <v>12</v>
      </c>
      <c r="C13" s="12">
        <v>43132</v>
      </c>
      <c r="D13" s="8">
        <v>121.444</v>
      </c>
      <c r="E13" s="8">
        <v>41.171399999999998</v>
      </c>
      <c r="F13" s="13"/>
      <c r="G13" s="6" t="s">
        <v>13</v>
      </c>
      <c r="H13" s="13" t="s">
        <v>14</v>
      </c>
      <c r="I13" s="6" t="s">
        <v>15</v>
      </c>
      <c r="J13" s="9">
        <f t="shared" si="0"/>
        <v>5000.0195015999998</v>
      </c>
      <c r="K13" s="15" t="s">
        <v>16</v>
      </c>
      <c r="L13" s="13"/>
      <c r="M13" s="13"/>
      <c r="N13" s="14"/>
    </row>
    <row r="14" spans="1:14" x14ac:dyDescent="0.35">
      <c r="A14" s="16" t="s">
        <v>17</v>
      </c>
      <c r="B14" s="6" t="s">
        <v>18</v>
      </c>
      <c r="C14" s="12">
        <v>43133</v>
      </c>
      <c r="D14" s="8">
        <v>105.986</v>
      </c>
      <c r="E14" s="8">
        <v>47.176000000000002</v>
      </c>
      <c r="F14" s="13"/>
      <c r="G14" s="13" t="s">
        <v>13</v>
      </c>
      <c r="H14" s="13"/>
      <c r="I14" s="6" t="s">
        <v>19</v>
      </c>
      <c r="J14" s="9">
        <f t="shared" si="0"/>
        <v>4999.9955360000004</v>
      </c>
      <c r="K14" s="15" t="s">
        <v>16</v>
      </c>
      <c r="L14" s="13"/>
      <c r="M14" s="13"/>
      <c r="N14" s="14"/>
    </row>
    <row r="15" spans="1:14" x14ac:dyDescent="0.35">
      <c r="A15" s="16" t="s">
        <v>17</v>
      </c>
      <c r="B15" s="6" t="s">
        <v>18</v>
      </c>
      <c r="C15" s="12">
        <v>43136</v>
      </c>
      <c r="D15" s="8">
        <v>106.005</v>
      </c>
      <c r="E15" s="8">
        <v>47.167400000000001</v>
      </c>
      <c r="F15" s="13"/>
      <c r="G15" s="13" t="s">
        <v>13</v>
      </c>
      <c r="H15" s="13"/>
      <c r="I15" s="6" t="s">
        <v>19</v>
      </c>
      <c r="J15" s="9">
        <f t="shared" si="0"/>
        <v>4999.9802369999998</v>
      </c>
      <c r="K15" s="15" t="s">
        <v>16</v>
      </c>
      <c r="L15" s="13"/>
      <c r="M15" s="13"/>
      <c r="N15" s="14"/>
    </row>
    <row r="16" spans="1:14" x14ac:dyDescent="0.35">
      <c r="A16" s="16" t="s">
        <v>17</v>
      </c>
      <c r="B16" s="6" t="s">
        <v>18</v>
      </c>
      <c r="C16" s="12">
        <v>43151</v>
      </c>
      <c r="D16" s="8">
        <v>105.367</v>
      </c>
      <c r="E16" s="8">
        <v>47.453000000000003</v>
      </c>
      <c r="F16" s="13"/>
      <c r="G16" s="13" t="s">
        <v>13</v>
      </c>
      <c r="H16" s="13"/>
      <c r="I16" s="6" t="s">
        <v>19</v>
      </c>
      <c r="J16" s="9">
        <f t="shared" si="0"/>
        <v>4999.9802510000009</v>
      </c>
      <c r="K16" s="15" t="s">
        <v>16</v>
      </c>
      <c r="L16" s="13"/>
      <c r="M16" s="13"/>
      <c r="N16" s="14"/>
    </row>
    <row r="17" spans="1:14" x14ac:dyDescent="0.35">
      <c r="A17" s="16" t="s">
        <v>11</v>
      </c>
      <c r="B17" s="6" t="s">
        <v>12</v>
      </c>
      <c r="C17" s="12">
        <v>43152</v>
      </c>
      <c r="D17" s="8">
        <v>25.652999999999999</v>
      </c>
      <c r="E17" s="8">
        <v>38.981299999999997</v>
      </c>
      <c r="F17" s="13"/>
      <c r="G17" s="13" t="s">
        <v>13</v>
      </c>
      <c r="H17" s="13" t="s">
        <v>14</v>
      </c>
      <c r="I17" s="6" t="s">
        <v>15</v>
      </c>
      <c r="J17" s="9">
        <f t="shared" si="0"/>
        <v>999.98728889999984</v>
      </c>
      <c r="K17" s="15" t="s">
        <v>16</v>
      </c>
      <c r="L17" s="13"/>
      <c r="M17" s="13"/>
      <c r="N17" s="14"/>
    </row>
    <row r="18" spans="1:14" x14ac:dyDescent="0.35">
      <c r="A18" s="16" t="s">
        <v>17</v>
      </c>
      <c r="B18" s="6" t="s">
        <v>18</v>
      </c>
      <c r="C18" s="12">
        <v>43153</v>
      </c>
      <c r="D18" s="8">
        <v>106.084</v>
      </c>
      <c r="E18" s="8">
        <v>47.132300000000001</v>
      </c>
      <c r="F18" s="13"/>
      <c r="G18" s="13" t="s">
        <v>13</v>
      </c>
      <c r="H18" s="13"/>
      <c r="I18" s="6" t="s">
        <v>19</v>
      </c>
      <c r="J18" s="9">
        <f t="shared" si="0"/>
        <v>4999.9829132000004</v>
      </c>
      <c r="K18" s="15" t="s">
        <v>16</v>
      </c>
      <c r="L18" s="13"/>
      <c r="M18" s="13"/>
      <c r="N18" s="14"/>
    </row>
    <row r="19" spans="1:14" x14ac:dyDescent="0.35">
      <c r="A19" s="16" t="s">
        <v>11</v>
      </c>
      <c r="B19" s="6" t="s">
        <v>12</v>
      </c>
      <c r="C19" s="12">
        <v>43153</v>
      </c>
      <c r="D19" s="8">
        <v>38.558999999999997</v>
      </c>
      <c r="E19" s="8">
        <v>38.901400000000002</v>
      </c>
      <c r="F19" s="13"/>
      <c r="G19" s="13" t="s">
        <v>13</v>
      </c>
      <c r="H19" s="13" t="s">
        <v>14</v>
      </c>
      <c r="I19" s="6" t="s">
        <v>15</v>
      </c>
      <c r="J19" s="9">
        <f t="shared" si="0"/>
        <v>1499.9990826000001</v>
      </c>
      <c r="K19" s="15" t="s">
        <v>16</v>
      </c>
      <c r="L19" s="13"/>
      <c r="M19" s="13"/>
      <c r="N19" s="14"/>
    </row>
    <row r="20" spans="1:14" x14ac:dyDescent="0.35">
      <c r="A20" s="16" t="s">
        <v>17</v>
      </c>
      <c r="B20" s="6" t="s">
        <v>18</v>
      </c>
      <c r="C20" s="12">
        <v>43157</v>
      </c>
      <c r="D20" s="8">
        <v>51.755000000000003</v>
      </c>
      <c r="E20" s="8">
        <v>48.304099999999998</v>
      </c>
      <c r="F20" s="13"/>
      <c r="G20" s="13" t="s">
        <v>13</v>
      </c>
      <c r="H20" s="13"/>
      <c r="I20" s="6" t="s">
        <v>19</v>
      </c>
      <c r="J20" s="9">
        <f t="shared" si="0"/>
        <v>2499.9786955</v>
      </c>
      <c r="K20" s="15" t="s">
        <v>16</v>
      </c>
      <c r="L20" s="13"/>
      <c r="M20" s="13"/>
      <c r="N20" s="14"/>
    </row>
    <row r="21" spans="1:14" x14ac:dyDescent="0.35">
      <c r="A21" s="16" t="s">
        <v>11</v>
      </c>
      <c r="B21" s="6" t="s">
        <v>12</v>
      </c>
      <c r="C21" s="12">
        <v>43157</v>
      </c>
      <c r="D21" s="8">
        <v>37.576000000000001</v>
      </c>
      <c r="E21" s="8">
        <v>39.919400000000003</v>
      </c>
      <c r="F21" s="13"/>
      <c r="G21" s="13" t="s">
        <v>13</v>
      </c>
      <c r="H21" s="13" t="s">
        <v>14</v>
      </c>
      <c r="I21" s="6" t="s">
        <v>15</v>
      </c>
      <c r="J21" s="9">
        <f t="shared" si="0"/>
        <v>1500.0113744000002</v>
      </c>
      <c r="K21" s="15" t="s">
        <v>16</v>
      </c>
      <c r="L21" s="13"/>
      <c r="M21" s="13"/>
      <c r="N21" s="14"/>
    </row>
    <row r="22" spans="1:14" x14ac:dyDescent="0.35">
      <c r="A22" s="16" t="s">
        <v>17</v>
      </c>
      <c r="B22" s="6" t="s">
        <v>18</v>
      </c>
      <c r="C22" s="12">
        <v>43158</v>
      </c>
      <c r="D22" s="8">
        <v>51.828000000000003</v>
      </c>
      <c r="E22" s="8">
        <v>48.236899999999999</v>
      </c>
      <c r="F22" s="13"/>
      <c r="G22" s="13" t="s">
        <v>13</v>
      </c>
      <c r="H22" s="13"/>
      <c r="I22" s="6" t="s">
        <v>19</v>
      </c>
      <c r="J22" s="9">
        <f t="shared" si="0"/>
        <v>2500.0220531999998</v>
      </c>
      <c r="K22" s="15" t="s">
        <v>16</v>
      </c>
      <c r="L22" s="13"/>
      <c r="M22" s="13"/>
      <c r="N22" s="14"/>
    </row>
    <row r="23" spans="1:14" x14ac:dyDescent="0.35">
      <c r="A23" s="16" t="s">
        <v>17</v>
      </c>
      <c r="B23" s="6" t="s">
        <v>18</v>
      </c>
      <c r="C23" s="12">
        <v>43159</v>
      </c>
      <c r="D23" s="8">
        <v>51.787999999999997</v>
      </c>
      <c r="E23" s="8">
        <v>48.273600000000002</v>
      </c>
      <c r="F23" s="13"/>
      <c r="G23" s="13" t="s">
        <v>13</v>
      </c>
      <c r="H23" s="13"/>
      <c r="I23" s="6" t="s">
        <v>19</v>
      </c>
      <c r="J23" s="9">
        <f t="shared" si="0"/>
        <v>2499.9931968000001</v>
      </c>
      <c r="K23" s="15" t="s">
        <v>16</v>
      </c>
      <c r="L23" s="13"/>
      <c r="M23" s="13"/>
      <c r="N23" s="14"/>
    </row>
    <row r="24" spans="1:14" x14ac:dyDescent="0.35">
      <c r="A24" s="16" t="s">
        <v>11</v>
      </c>
      <c r="B24" s="6" t="s">
        <v>12</v>
      </c>
      <c r="C24" s="12">
        <v>43159</v>
      </c>
      <c r="D24" s="8">
        <v>25.199000000000002</v>
      </c>
      <c r="E24" s="8">
        <v>39.683799999999998</v>
      </c>
      <c r="F24" s="13"/>
      <c r="G24" s="13" t="s">
        <v>13</v>
      </c>
      <c r="H24" s="13" t="s">
        <v>14</v>
      </c>
      <c r="I24" s="6" t="s">
        <v>15</v>
      </c>
      <c r="J24" s="9">
        <f t="shared" si="0"/>
        <v>999.99207620000004</v>
      </c>
      <c r="K24" s="15" t="s">
        <v>16</v>
      </c>
      <c r="L24" s="13"/>
      <c r="M24" s="13"/>
      <c r="N24" s="14"/>
    </row>
    <row r="25" spans="1:14" x14ac:dyDescent="0.35">
      <c r="A25" s="16" t="s">
        <v>17</v>
      </c>
      <c r="B25" s="6" t="s">
        <v>18</v>
      </c>
      <c r="C25" s="12">
        <v>43160</v>
      </c>
      <c r="D25" s="8">
        <v>51.765000000000001</v>
      </c>
      <c r="E25" s="8">
        <v>48.295299999999997</v>
      </c>
      <c r="F25" s="13"/>
      <c r="G25" s="13" t="s">
        <v>13</v>
      </c>
      <c r="H25" s="13"/>
      <c r="I25" s="6" t="s">
        <v>19</v>
      </c>
      <c r="J25" s="9">
        <f t="shared" si="0"/>
        <v>2500.0062045</v>
      </c>
      <c r="K25" s="15" t="s">
        <v>16</v>
      </c>
      <c r="L25" s="13"/>
      <c r="M25" s="13"/>
      <c r="N25" s="14"/>
    </row>
    <row r="26" spans="1:14" x14ac:dyDescent="0.35">
      <c r="A26" s="16" t="s">
        <v>17</v>
      </c>
      <c r="B26" s="6" t="s">
        <v>18</v>
      </c>
      <c r="C26" s="12">
        <v>43164</v>
      </c>
      <c r="D26" s="8">
        <v>52.439</v>
      </c>
      <c r="E26" s="8">
        <v>47.674100000000003</v>
      </c>
      <c r="F26" s="13"/>
      <c r="G26" s="13" t="s">
        <v>13</v>
      </c>
      <c r="H26" s="13"/>
      <c r="I26" s="6" t="s">
        <v>19</v>
      </c>
      <c r="J26" s="9">
        <f t="shared" si="0"/>
        <v>2499.9821299</v>
      </c>
      <c r="K26" s="15" t="s">
        <v>16</v>
      </c>
      <c r="L26" s="13"/>
      <c r="M26" s="13"/>
      <c r="N26" s="14"/>
    </row>
    <row r="27" spans="1:14" x14ac:dyDescent="0.35">
      <c r="A27" s="16" t="s">
        <v>17</v>
      </c>
      <c r="B27" s="6" t="s">
        <v>18</v>
      </c>
      <c r="C27" s="12">
        <v>43165</v>
      </c>
      <c r="D27" s="8">
        <v>52.981999999999999</v>
      </c>
      <c r="E27" s="8">
        <v>47.186199999999999</v>
      </c>
      <c r="F27" s="13"/>
      <c r="G27" s="13" t="s">
        <v>13</v>
      </c>
      <c r="H27" s="13"/>
      <c r="I27" s="6" t="s">
        <v>19</v>
      </c>
      <c r="J27" s="9">
        <f t="shared" si="0"/>
        <v>2500.0192483999999</v>
      </c>
      <c r="K27" s="15" t="s">
        <v>16</v>
      </c>
      <c r="L27" s="13"/>
      <c r="M27" s="13"/>
      <c r="N27" s="14"/>
    </row>
    <row r="28" spans="1:14" x14ac:dyDescent="0.35">
      <c r="A28" s="16" t="s">
        <v>17</v>
      </c>
      <c r="B28" s="6" t="s">
        <v>18</v>
      </c>
      <c r="C28" s="12">
        <v>43166</v>
      </c>
      <c r="D28" s="8">
        <v>54.024999999999999</v>
      </c>
      <c r="E28" s="8">
        <v>46.2746</v>
      </c>
      <c r="F28" s="13"/>
      <c r="G28" s="13" t="s">
        <v>13</v>
      </c>
      <c r="H28" s="13"/>
      <c r="I28" s="6" t="s">
        <v>19</v>
      </c>
      <c r="J28" s="9">
        <f t="shared" si="0"/>
        <v>2499.9852649999998</v>
      </c>
      <c r="K28" s="15" t="s">
        <v>16</v>
      </c>
      <c r="L28" s="13"/>
      <c r="M28" s="13"/>
      <c r="N28" s="14"/>
    </row>
    <row r="29" spans="1:14" x14ac:dyDescent="0.35">
      <c r="A29" s="16" t="s">
        <v>17</v>
      </c>
      <c r="B29" s="6" t="s">
        <v>18</v>
      </c>
      <c r="C29" s="12">
        <v>43167</v>
      </c>
      <c r="D29" s="8">
        <v>54.048000000000002</v>
      </c>
      <c r="E29" s="8">
        <v>46.254800000000003</v>
      </c>
      <c r="F29" s="13"/>
      <c r="G29" s="13" t="s">
        <v>13</v>
      </c>
      <c r="H29" s="13"/>
      <c r="I29" s="6" t="s">
        <v>19</v>
      </c>
      <c r="J29" s="9">
        <f t="shared" si="0"/>
        <v>2499.9794304000002</v>
      </c>
      <c r="K29" s="15" t="s">
        <v>16</v>
      </c>
      <c r="L29" s="13"/>
      <c r="M29" s="13"/>
      <c r="N29" s="14"/>
    </row>
    <row r="30" spans="1:14" x14ac:dyDescent="0.35">
      <c r="A30" s="16" t="s">
        <v>17</v>
      </c>
      <c r="B30" s="6" t="s">
        <v>18</v>
      </c>
      <c r="C30" s="12">
        <v>43178</v>
      </c>
      <c r="D30" s="8">
        <v>54.655999999999999</v>
      </c>
      <c r="E30" s="8">
        <v>45.741</v>
      </c>
      <c r="F30" s="13"/>
      <c r="G30" s="13" t="s">
        <v>13</v>
      </c>
      <c r="H30" s="13"/>
      <c r="I30" s="6" t="s">
        <v>19</v>
      </c>
      <c r="J30" s="9">
        <f t="shared" si="0"/>
        <v>2500.0200959999997</v>
      </c>
      <c r="K30" s="15" t="s">
        <v>16</v>
      </c>
      <c r="L30" s="13"/>
      <c r="M30" s="13"/>
      <c r="N30" s="14"/>
    </row>
    <row r="31" spans="1:14" x14ac:dyDescent="0.35">
      <c r="A31" s="16" t="s">
        <v>11</v>
      </c>
      <c r="B31" s="6" t="s">
        <v>12</v>
      </c>
      <c r="C31" s="12">
        <v>43178</v>
      </c>
      <c r="D31" s="8">
        <v>25.946000000000002</v>
      </c>
      <c r="E31" s="8">
        <v>38.541600000000003</v>
      </c>
      <c r="F31" s="13"/>
      <c r="G31" s="13" t="s">
        <v>13</v>
      </c>
      <c r="H31" s="13" t="s">
        <v>14</v>
      </c>
      <c r="I31" s="6" t="s">
        <v>15</v>
      </c>
      <c r="J31" s="9">
        <f t="shared" si="0"/>
        <v>1000.0003536000002</v>
      </c>
      <c r="K31" s="15" t="s">
        <v>16</v>
      </c>
      <c r="L31" s="13"/>
      <c r="M31" s="13"/>
      <c r="N31" s="14"/>
    </row>
    <row r="32" spans="1:14" x14ac:dyDescent="0.35">
      <c r="A32" s="16" t="s">
        <v>17</v>
      </c>
      <c r="B32" s="6" t="s">
        <v>18</v>
      </c>
      <c r="C32" s="12">
        <v>43179</v>
      </c>
      <c r="D32" s="8">
        <v>54.826999999999998</v>
      </c>
      <c r="E32" s="8">
        <v>45.597700000000003</v>
      </c>
      <c r="F32" s="13"/>
      <c r="G32" s="13" t="s">
        <v>13</v>
      </c>
      <c r="H32" s="13"/>
      <c r="I32" s="6" t="s">
        <v>19</v>
      </c>
      <c r="J32" s="9">
        <f t="shared" si="0"/>
        <v>2499.9850979000003</v>
      </c>
      <c r="K32" s="15" t="s">
        <v>16</v>
      </c>
      <c r="L32" s="13"/>
      <c r="M32" s="13"/>
      <c r="N32" s="14"/>
    </row>
    <row r="33" spans="1:14" x14ac:dyDescent="0.35">
      <c r="A33" s="16" t="s">
        <v>11</v>
      </c>
      <c r="B33" s="6" t="s">
        <v>12</v>
      </c>
      <c r="C33" s="12">
        <v>43179</v>
      </c>
      <c r="D33" s="8">
        <v>25.853000000000002</v>
      </c>
      <c r="E33" s="8">
        <v>38.680599999999998</v>
      </c>
      <c r="F33" s="13"/>
      <c r="G33" s="13" t="s">
        <v>13</v>
      </c>
      <c r="H33" s="13" t="s">
        <v>14</v>
      </c>
      <c r="I33" s="6" t="s">
        <v>15</v>
      </c>
      <c r="J33" s="9">
        <f t="shared" si="0"/>
        <v>1000.0095518000001</v>
      </c>
      <c r="K33" s="15" t="s">
        <v>16</v>
      </c>
      <c r="L33" s="13"/>
      <c r="M33" s="13"/>
      <c r="N33" s="14"/>
    </row>
    <row r="34" spans="1:14" x14ac:dyDescent="0.35">
      <c r="A34" s="16" t="s">
        <v>17</v>
      </c>
      <c r="B34" s="6" t="s">
        <v>18</v>
      </c>
      <c r="C34" s="12">
        <v>43182</v>
      </c>
      <c r="D34" s="8">
        <v>55.82</v>
      </c>
      <c r="E34" s="8">
        <v>44.786999999999999</v>
      </c>
      <c r="F34" s="13"/>
      <c r="G34" s="13" t="s">
        <v>13</v>
      </c>
      <c r="H34" s="13"/>
      <c r="I34" s="6" t="s">
        <v>19</v>
      </c>
      <c r="J34" s="9">
        <f t="shared" si="0"/>
        <v>2500.0103399999998</v>
      </c>
      <c r="K34" s="15" t="s">
        <v>16</v>
      </c>
      <c r="L34" s="13"/>
      <c r="M34" s="13"/>
      <c r="N34" s="14"/>
    </row>
    <row r="35" spans="1:14" x14ac:dyDescent="0.35">
      <c r="A35" s="16" t="s">
        <v>11</v>
      </c>
      <c r="B35" s="6" t="s">
        <v>12</v>
      </c>
      <c r="C35" s="12">
        <v>43182</v>
      </c>
      <c r="D35" s="8">
        <v>26.178000000000001</v>
      </c>
      <c r="E35" s="8">
        <v>38.200299999999999</v>
      </c>
      <c r="F35" s="13"/>
      <c r="G35" s="13" t="s">
        <v>13</v>
      </c>
      <c r="H35" s="13" t="s">
        <v>14</v>
      </c>
      <c r="I35" s="6" t="s">
        <v>15</v>
      </c>
      <c r="J35" s="9">
        <f t="shared" si="0"/>
        <v>1000.0074534</v>
      </c>
      <c r="K35" s="15" t="s">
        <v>16</v>
      </c>
      <c r="L35" s="13"/>
      <c r="M35" s="13"/>
      <c r="N35" s="14"/>
    </row>
    <row r="36" spans="1:14" x14ac:dyDescent="0.35">
      <c r="A36" s="16" t="s">
        <v>11</v>
      </c>
      <c r="B36" s="6" t="s">
        <v>12</v>
      </c>
      <c r="C36" s="12">
        <v>43194</v>
      </c>
      <c r="D36" s="8">
        <v>25.475999999999999</v>
      </c>
      <c r="E36" s="8">
        <v>39.253100000000003</v>
      </c>
      <c r="F36" s="13"/>
      <c r="G36" s="13" t="s">
        <v>13</v>
      </c>
      <c r="H36" s="13" t="s">
        <v>14</v>
      </c>
      <c r="I36" s="6" t="s">
        <v>15</v>
      </c>
      <c r="J36" s="9">
        <f t="shared" si="0"/>
        <v>1000.0119756</v>
      </c>
      <c r="K36" s="15" t="s">
        <v>16</v>
      </c>
      <c r="L36" s="13"/>
      <c r="M36" s="13"/>
      <c r="N36" s="14"/>
    </row>
    <row r="37" spans="1:14" x14ac:dyDescent="0.35">
      <c r="A37" s="16" t="s">
        <v>11</v>
      </c>
      <c r="B37" s="6" t="s">
        <v>12</v>
      </c>
      <c r="C37" s="12">
        <v>43210</v>
      </c>
      <c r="D37" s="8">
        <v>24.579000000000001</v>
      </c>
      <c r="E37" s="8">
        <v>40.685299999999998</v>
      </c>
      <c r="F37" s="13"/>
      <c r="G37" s="13" t="s">
        <v>13</v>
      </c>
      <c r="H37" s="13" t="s">
        <v>14</v>
      </c>
      <c r="I37" s="6" t="s">
        <v>15</v>
      </c>
      <c r="J37" s="9">
        <f t="shared" si="0"/>
        <v>1000.0039886999999</v>
      </c>
      <c r="K37" s="15" t="s">
        <v>16</v>
      </c>
      <c r="L37" s="13"/>
      <c r="M37" s="13"/>
      <c r="N37" s="14"/>
    </row>
    <row r="38" spans="1:14" x14ac:dyDescent="0.35">
      <c r="A38" s="16" t="s">
        <v>20</v>
      </c>
      <c r="B38" s="6" t="s">
        <v>21</v>
      </c>
      <c r="C38" s="12">
        <v>43213</v>
      </c>
      <c r="D38" s="8">
        <v>156.31299999999999</v>
      </c>
      <c r="E38" s="8">
        <v>31.987200000000001</v>
      </c>
      <c r="F38" s="13"/>
      <c r="G38" s="13" t="s">
        <v>13</v>
      </c>
      <c r="H38" s="13" t="s">
        <v>22</v>
      </c>
      <c r="I38" s="6" t="s">
        <v>23</v>
      </c>
      <c r="J38" s="9">
        <f t="shared" si="0"/>
        <v>5000.0151936000002</v>
      </c>
      <c r="K38" s="15" t="s">
        <v>16</v>
      </c>
      <c r="L38" s="13"/>
      <c r="M38" s="13"/>
      <c r="N38" s="14"/>
    </row>
    <row r="39" spans="1:14" x14ac:dyDescent="0.35">
      <c r="A39" s="16" t="s">
        <v>20</v>
      </c>
      <c r="B39" s="6" t="s">
        <v>21</v>
      </c>
      <c r="C39" s="12">
        <v>43214</v>
      </c>
      <c r="D39" s="8">
        <v>155.31700000000001</v>
      </c>
      <c r="E39" s="8">
        <v>32.1922</v>
      </c>
      <c r="F39" s="13"/>
      <c r="G39" s="13" t="s">
        <v>13</v>
      </c>
      <c r="H39" s="13" t="s">
        <v>22</v>
      </c>
      <c r="I39" s="6" t="s">
        <v>23</v>
      </c>
      <c r="J39" s="9">
        <f t="shared" si="0"/>
        <v>4999.9959274000003</v>
      </c>
      <c r="K39" s="15" t="s">
        <v>16</v>
      </c>
      <c r="L39" s="13"/>
      <c r="M39" s="13"/>
      <c r="N39" s="14"/>
    </row>
    <row r="40" spans="1:14" x14ac:dyDescent="0.35">
      <c r="A40" s="16" t="s">
        <v>20</v>
      </c>
      <c r="B40" s="6" t="s">
        <v>21</v>
      </c>
      <c r="C40" s="12">
        <v>43215</v>
      </c>
      <c r="D40" s="8">
        <v>155.65100000000001</v>
      </c>
      <c r="E40" s="8">
        <v>32.123199999999997</v>
      </c>
      <c r="F40" s="13"/>
      <c r="G40" s="13" t="s">
        <v>13</v>
      </c>
      <c r="H40" s="13" t="s">
        <v>22</v>
      </c>
      <c r="I40" s="6" t="s">
        <v>23</v>
      </c>
      <c r="J40" s="9">
        <f t="shared" si="0"/>
        <v>5000.0082032</v>
      </c>
      <c r="K40" s="15" t="s">
        <v>16</v>
      </c>
      <c r="L40" s="13"/>
      <c r="M40" s="13"/>
      <c r="N40" s="14"/>
    </row>
    <row r="41" spans="1:14" x14ac:dyDescent="0.35">
      <c r="A41" s="16" t="s">
        <v>11</v>
      </c>
      <c r="B41" s="6" t="s">
        <v>12</v>
      </c>
      <c r="C41" s="12">
        <v>43216</v>
      </c>
      <c r="D41" s="8">
        <v>24.45</v>
      </c>
      <c r="E41" s="8">
        <v>40.899099999999997</v>
      </c>
      <c r="F41" s="13"/>
      <c r="G41" s="13" t="s">
        <v>13</v>
      </c>
      <c r="H41" s="13" t="s">
        <v>14</v>
      </c>
      <c r="I41" s="6" t="s">
        <v>15</v>
      </c>
      <c r="J41" s="9">
        <f t="shared" si="0"/>
        <v>999.98299499999985</v>
      </c>
      <c r="K41" s="15" t="s">
        <v>16</v>
      </c>
      <c r="L41" s="13"/>
      <c r="M41" s="13"/>
      <c r="N41" s="14"/>
    </row>
    <row r="42" spans="1:14" x14ac:dyDescent="0.35">
      <c r="A42" s="16" t="s">
        <v>20</v>
      </c>
      <c r="B42" s="6" t="s">
        <v>21</v>
      </c>
      <c r="C42" s="12">
        <v>43216</v>
      </c>
      <c r="D42" s="8">
        <v>309.65199999999999</v>
      </c>
      <c r="E42" s="8">
        <v>32.2943</v>
      </c>
      <c r="F42" s="13"/>
      <c r="G42" s="13" t="s">
        <v>13</v>
      </c>
      <c r="H42" s="13" t="s">
        <v>22</v>
      </c>
      <c r="I42" s="6" t="s">
        <v>23</v>
      </c>
      <c r="J42" s="9">
        <f t="shared" si="0"/>
        <v>9999.9945835999988</v>
      </c>
      <c r="K42" s="15" t="s">
        <v>16</v>
      </c>
      <c r="L42" s="13"/>
      <c r="M42" s="13"/>
      <c r="N42" s="14"/>
    </row>
    <row r="43" spans="1:14" x14ac:dyDescent="0.35">
      <c r="A43" s="16" t="s">
        <v>20</v>
      </c>
      <c r="B43" s="6" t="s">
        <v>21</v>
      </c>
      <c r="C43" s="12">
        <v>43217</v>
      </c>
      <c r="D43" s="8">
        <v>154.37299999999999</v>
      </c>
      <c r="E43" s="8">
        <v>32.389000000000003</v>
      </c>
      <c r="F43" s="13"/>
      <c r="G43" s="13" t="s">
        <v>13</v>
      </c>
      <c r="H43" s="13" t="s">
        <v>22</v>
      </c>
      <c r="I43" s="6" t="s">
        <v>23</v>
      </c>
      <c r="J43" s="9">
        <f t="shared" si="0"/>
        <v>4999.9870970000002</v>
      </c>
      <c r="K43" s="15" t="s">
        <v>16</v>
      </c>
      <c r="L43" s="13"/>
      <c r="M43" s="13"/>
      <c r="N43" s="14"/>
    </row>
    <row r="44" spans="1:14" x14ac:dyDescent="0.35">
      <c r="A44" s="16" t="s">
        <v>11</v>
      </c>
      <c r="B44" s="6" t="s">
        <v>12</v>
      </c>
      <c r="C44" s="12">
        <v>43220</v>
      </c>
      <c r="D44" s="8">
        <v>48.411000000000001</v>
      </c>
      <c r="E44" s="8">
        <v>41.312899999999999</v>
      </c>
      <c r="F44" s="13"/>
      <c r="G44" s="13" t="s">
        <v>13</v>
      </c>
      <c r="H44" s="13" t="s">
        <v>14</v>
      </c>
      <c r="I44" s="6" t="s">
        <v>15</v>
      </c>
      <c r="J44" s="9">
        <f t="shared" si="0"/>
        <v>1999.9988019</v>
      </c>
      <c r="K44" s="15" t="s">
        <v>16</v>
      </c>
      <c r="L44" s="13"/>
      <c r="M44" s="13"/>
      <c r="N44" s="14"/>
    </row>
    <row r="45" spans="1:14" x14ac:dyDescent="0.35">
      <c r="A45" s="16" t="s">
        <v>11</v>
      </c>
      <c r="B45" s="6" t="s">
        <v>12</v>
      </c>
      <c r="C45" s="12">
        <v>43222</v>
      </c>
      <c r="D45" s="8">
        <v>48.744999999999997</v>
      </c>
      <c r="E45" s="8">
        <v>41.029699999999998</v>
      </c>
      <c r="F45" s="13"/>
      <c r="G45" s="13" t="s">
        <v>13</v>
      </c>
      <c r="H45" s="13" t="s">
        <v>14</v>
      </c>
      <c r="I45" s="6" t="s">
        <v>15</v>
      </c>
      <c r="J45" s="9">
        <f t="shared" si="0"/>
        <v>1999.9927264999999</v>
      </c>
      <c r="K45" s="15" t="s">
        <v>16</v>
      </c>
      <c r="L45" s="13"/>
      <c r="M45" s="13"/>
      <c r="N45" s="14"/>
    </row>
    <row r="46" spans="1:14" x14ac:dyDescent="0.35">
      <c r="A46" s="16" t="s">
        <v>20</v>
      </c>
      <c r="B46" s="6" t="s">
        <v>21</v>
      </c>
      <c r="C46" s="12">
        <v>43222</v>
      </c>
      <c r="D46" s="8">
        <v>153.613</v>
      </c>
      <c r="E46" s="8">
        <v>32.549300000000002</v>
      </c>
      <c r="F46" s="13"/>
      <c r="G46" s="13" t="s">
        <v>13</v>
      </c>
      <c r="H46" s="13" t="s">
        <v>22</v>
      </c>
      <c r="I46" s="6" t="s">
        <v>23</v>
      </c>
      <c r="J46" s="9">
        <f t="shared" si="0"/>
        <v>4999.9956209000002</v>
      </c>
      <c r="K46" s="15" t="s">
        <v>16</v>
      </c>
      <c r="L46" s="13"/>
      <c r="M46" s="13"/>
      <c r="N46" s="14"/>
    </row>
    <row r="47" spans="1:14" x14ac:dyDescent="0.35">
      <c r="A47" s="16" t="s">
        <v>11</v>
      </c>
      <c r="B47" s="6" t="s">
        <v>12</v>
      </c>
      <c r="C47" s="12">
        <v>43223</v>
      </c>
      <c r="D47" s="8">
        <v>49.127000000000002</v>
      </c>
      <c r="E47" s="8">
        <v>40.710500000000003</v>
      </c>
      <c r="F47" s="13"/>
      <c r="G47" s="13" t="s">
        <v>13</v>
      </c>
      <c r="H47" s="13" t="s">
        <v>14</v>
      </c>
      <c r="I47" s="6" t="s">
        <v>15</v>
      </c>
      <c r="J47" s="9">
        <f t="shared" si="0"/>
        <v>1999.9847335000002</v>
      </c>
      <c r="K47" s="15" t="s">
        <v>16</v>
      </c>
      <c r="L47" s="13"/>
      <c r="M47" s="13"/>
      <c r="N47" s="14"/>
    </row>
    <row r="48" spans="1:14" x14ac:dyDescent="0.35">
      <c r="A48" s="16" t="s">
        <v>20</v>
      </c>
      <c r="B48" s="6" t="s">
        <v>21</v>
      </c>
      <c r="C48" s="12">
        <v>43223</v>
      </c>
      <c r="D48" s="8">
        <v>154.81</v>
      </c>
      <c r="E48" s="8">
        <v>32.297699999999999</v>
      </c>
      <c r="F48" s="13"/>
      <c r="G48" s="13" t="s">
        <v>13</v>
      </c>
      <c r="H48" s="13" t="s">
        <v>22</v>
      </c>
      <c r="I48" s="6" t="s">
        <v>23</v>
      </c>
      <c r="J48" s="9">
        <f t="shared" si="0"/>
        <v>5000.0069370000001</v>
      </c>
      <c r="K48" s="15" t="s">
        <v>16</v>
      </c>
      <c r="L48" s="13"/>
      <c r="M48" s="13"/>
      <c r="N48" s="14"/>
    </row>
    <row r="49" spans="1:14" x14ac:dyDescent="0.35">
      <c r="A49" s="16" t="s">
        <v>11</v>
      </c>
      <c r="B49" s="6" t="s">
        <v>12</v>
      </c>
      <c r="C49" s="12">
        <v>43224</v>
      </c>
      <c r="D49" s="8">
        <v>49.396000000000001</v>
      </c>
      <c r="E49" s="8">
        <v>40.4895</v>
      </c>
      <c r="F49" s="13"/>
      <c r="G49" s="13" t="s">
        <v>13</v>
      </c>
      <c r="H49" s="13" t="s">
        <v>14</v>
      </c>
      <c r="I49" s="6" t="s">
        <v>15</v>
      </c>
      <c r="J49" s="9">
        <f t="shared" si="0"/>
        <v>2000.0193420000001</v>
      </c>
      <c r="K49" s="15" t="s">
        <v>16</v>
      </c>
      <c r="L49" s="13"/>
      <c r="M49" s="13"/>
      <c r="N49" s="14"/>
    </row>
    <row r="50" spans="1:14" x14ac:dyDescent="0.35">
      <c r="A50" s="16" t="s">
        <v>20</v>
      </c>
      <c r="B50" s="6" t="s">
        <v>21</v>
      </c>
      <c r="C50" s="12">
        <v>43224</v>
      </c>
      <c r="D50" s="8">
        <v>311.084</v>
      </c>
      <c r="E50" s="8">
        <v>32.145699999999998</v>
      </c>
      <c r="F50" s="13"/>
      <c r="G50" s="13" t="s">
        <v>13</v>
      </c>
      <c r="H50" s="13" t="s">
        <v>22</v>
      </c>
      <c r="I50" s="6" t="s">
        <v>23</v>
      </c>
      <c r="J50" s="9">
        <f t="shared" si="0"/>
        <v>10000.012938799999</v>
      </c>
      <c r="K50" s="15" t="s">
        <v>16</v>
      </c>
      <c r="L50" s="13"/>
      <c r="M50" s="13"/>
      <c r="N50" s="14"/>
    </row>
    <row r="51" spans="1:14" x14ac:dyDescent="0.35">
      <c r="A51" s="16" t="s">
        <v>11</v>
      </c>
      <c r="B51" s="6" t="s">
        <v>12</v>
      </c>
      <c r="C51" s="12">
        <v>43227</v>
      </c>
      <c r="D51" s="8">
        <v>24.484000000000002</v>
      </c>
      <c r="E51" s="8">
        <v>40.842500000000001</v>
      </c>
      <c r="F51" s="13"/>
      <c r="G51" s="13" t="s">
        <v>13</v>
      </c>
      <c r="H51" s="13" t="s">
        <v>14</v>
      </c>
      <c r="I51" s="6" t="s">
        <v>15</v>
      </c>
      <c r="J51" s="9">
        <f t="shared" si="0"/>
        <v>999.98777000000007</v>
      </c>
      <c r="K51" s="15" t="s">
        <v>16</v>
      </c>
      <c r="L51" s="13"/>
      <c r="M51" s="13"/>
      <c r="N51" s="14"/>
    </row>
    <row r="52" spans="1:14" x14ac:dyDescent="0.35">
      <c r="A52" s="16" t="s">
        <v>20</v>
      </c>
      <c r="B52" s="6" t="s">
        <v>21</v>
      </c>
      <c r="C52" s="12">
        <v>43227</v>
      </c>
      <c r="D52" s="8">
        <v>308.63099999999997</v>
      </c>
      <c r="E52" s="8">
        <v>32.401200000000003</v>
      </c>
      <c r="F52" s="13"/>
      <c r="G52" s="13" t="s">
        <v>13</v>
      </c>
      <c r="H52" s="13" t="s">
        <v>22</v>
      </c>
      <c r="I52" s="6" t="s">
        <v>23</v>
      </c>
      <c r="J52" s="9">
        <f t="shared" si="0"/>
        <v>10000.014757200001</v>
      </c>
      <c r="K52" s="15" t="s">
        <v>16</v>
      </c>
      <c r="L52" s="13"/>
      <c r="M52" s="13"/>
      <c r="N52" s="14"/>
    </row>
    <row r="53" spans="1:14" x14ac:dyDescent="0.35">
      <c r="A53" s="16" t="s">
        <v>20</v>
      </c>
      <c r="B53" s="6" t="s">
        <v>21</v>
      </c>
      <c r="C53" s="12">
        <v>43228</v>
      </c>
      <c r="D53" s="8">
        <v>773.35900000000004</v>
      </c>
      <c r="E53" s="8">
        <v>32.326500000000003</v>
      </c>
      <c r="F53" s="13"/>
      <c r="G53" s="13" t="s">
        <v>13</v>
      </c>
      <c r="H53" s="13" t="s">
        <v>22</v>
      </c>
      <c r="I53" s="6" t="s">
        <v>23</v>
      </c>
      <c r="J53" s="9">
        <f t="shared" si="0"/>
        <v>24999.989713500003</v>
      </c>
      <c r="K53" s="15" t="s">
        <v>16</v>
      </c>
      <c r="L53" s="13"/>
      <c r="M53" s="13"/>
      <c r="N53" s="14"/>
    </row>
    <row r="54" spans="1:14" x14ac:dyDescent="0.35">
      <c r="A54" s="16" t="s">
        <v>20</v>
      </c>
      <c r="B54" s="6" t="s">
        <v>21</v>
      </c>
      <c r="C54" s="12">
        <v>43229</v>
      </c>
      <c r="D54" s="8">
        <v>464.21699999999998</v>
      </c>
      <c r="E54" s="8">
        <v>32.3125</v>
      </c>
      <c r="F54" s="13"/>
      <c r="G54" s="13" t="s">
        <v>13</v>
      </c>
      <c r="H54" s="13" t="s">
        <v>22</v>
      </c>
      <c r="I54" s="6" t="s">
        <v>23</v>
      </c>
      <c r="J54" s="9">
        <f t="shared" si="0"/>
        <v>15000.011812499999</v>
      </c>
      <c r="K54" s="15" t="s">
        <v>16</v>
      </c>
      <c r="L54" s="13"/>
      <c r="M54" s="13"/>
      <c r="N54" s="14"/>
    </row>
    <row r="55" spans="1:14" x14ac:dyDescent="0.35">
      <c r="A55" s="16" t="s">
        <v>20</v>
      </c>
      <c r="B55" s="6" t="s">
        <v>21</v>
      </c>
      <c r="C55" s="12">
        <v>43230</v>
      </c>
      <c r="D55" s="8">
        <v>311.51</v>
      </c>
      <c r="E55" s="8">
        <v>32.101700000000001</v>
      </c>
      <c r="F55" s="13"/>
      <c r="G55" s="13" t="s">
        <v>13</v>
      </c>
      <c r="H55" s="13" t="s">
        <v>22</v>
      </c>
      <c r="I55" s="6" t="s">
        <v>23</v>
      </c>
      <c r="J55" s="9">
        <f t="shared" si="0"/>
        <v>10000.000566999999</v>
      </c>
      <c r="K55" s="15" t="s">
        <v>16</v>
      </c>
      <c r="L55" s="13"/>
      <c r="M55" s="13"/>
      <c r="N55" s="14"/>
    </row>
    <row r="56" spans="1:14" x14ac:dyDescent="0.35">
      <c r="A56" s="16" t="s">
        <v>20</v>
      </c>
      <c r="B56" s="6" t="s">
        <v>21</v>
      </c>
      <c r="C56" s="12">
        <v>43231</v>
      </c>
      <c r="D56" s="8">
        <v>154.58699999999999</v>
      </c>
      <c r="E56" s="8">
        <v>32.344200000000001</v>
      </c>
      <c r="F56" s="13"/>
      <c r="G56" s="13" t="s">
        <v>13</v>
      </c>
      <c r="H56" s="13" t="s">
        <v>22</v>
      </c>
      <c r="I56" s="6" t="s">
        <v>23</v>
      </c>
      <c r="J56" s="9">
        <f t="shared" si="0"/>
        <v>4999.9928454000001</v>
      </c>
      <c r="K56" s="15" t="s">
        <v>16</v>
      </c>
      <c r="L56" s="13"/>
      <c r="M56" s="13"/>
      <c r="N56" s="14"/>
    </row>
    <row r="57" spans="1:14" x14ac:dyDescent="0.35">
      <c r="A57" s="16" t="s">
        <v>20</v>
      </c>
      <c r="B57" s="6" t="s">
        <v>21</v>
      </c>
      <c r="C57" s="12">
        <v>43234</v>
      </c>
      <c r="D57" s="8">
        <v>466.798</v>
      </c>
      <c r="E57" s="8">
        <v>32.133800000000001</v>
      </c>
      <c r="F57" s="13"/>
      <c r="G57" s="13" t="s">
        <v>13</v>
      </c>
      <c r="H57" s="13" t="s">
        <v>22</v>
      </c>
      <c r="I57" s="6" t="s">
        <v>23</v>
      </c>
      <c r="J57" s="9">
        <f t="shared" si="0"/>
        <v>14999.993572400001</v>
      </c>
      <c r="K57" s="15" t="s">
        <v>16</v>
      </c>
      <c r="L57" s="13"/>
      <c r="M57" s="13"/>
      <c r="N57" s="14"/>
    </row>
    <row r="58" spans="1:14" x14ac:dyDescent="0.35">
      <c r="A58" s="16" t="s">
        <v>20</v>
      </c>
      <c r="B58" s="6" t="s">
        <v>21</v>
      </c>
      <c r="C58" s="12">
        <v>43235</v>
      </c>
      <c r="D58" s="8">
        <v>311.65699999999998</v>
      </c>
      <c r="E58" s="8">
        <v>32.086599999999997</v>
      </c>
      <c r="F58" s="13"/>
      <c r="G58" s="13" t="s">
        <v>13</v>
      </c>
      <c r="H58" s="13" t="s">
        <v>22</v>
      </c>
      <c r="I58" s="6" t="s">
        <v>23</v>
      </c>
      <c r="J58" s="9">
        <f t="shared" si="0"/>
        <v>10000.013496199999</v>
      </c>
      <c r="K58" s="15" t="s">
        <v>16</v>
      </c>
      <c r="L58" s="13"/>
      <c r="M58" s="13"/>
      <c r="N58" s="14"/>
    </row>
    <row r="59" spans="1:14" x14ac:dyDescent="0.35">
      <c r="A59" s="16" t="s">
        <v>11</v>
      </c>
      <c r="B59" s="6" t="s">
        <v>12</v>
      </c>
      <c r="C59" s="12">
        <v>43236</v>
      </c>
      <c r="D59" s="8">
        <v>49.427999999999997</v>
      </c>
      <c r="E59" s="8">
        <v>40.463200000000001</v>
      </c>
      <c r="F59" s="13"/>
      <c r="G59" s="13" t="s">
        <v>13</v>
      </c>
      <c r="H59" s="13" t="s">
        <v>14</v>
      </c>
      <c r="I59" s="6" t="s">
        <v>15</v>
      </c>
      <c r="J59" s="9">
        <f t="shared" si="0"/>
        <v>2000.0150495999999</v>
      </c>
      <c r="K59" s="15" t="s">
        <v>16</v>
      </c>
      <c r="L59" s="13"/>
      <c r="M59" s="13"/>
      <c r="N59" s="14"/>
    </row>
    <row r="60" spans="1:14" x14ac:dyDescent="0.35">
      <c r="A60" s="16" t="s">
        <v>20</v>
      </c>
      <c r="B60" s="6" t="s">
        <v>21</v>
      </c>
      <c r="C60" s="12">
        <v>43236</v>
      </c>
      <c r="D60" s="8">
        <v>623.08199999999999</v>
      </c>
      <c r="E60" s="8">
        <v>32.098500000000001</v>
      </c>
      <c r="F60" s="13"/>
      <c r="G60" s="13" t="s">
        <v>13</v>
      </c>
      <c r="H60" s="13" t="s">
        <v>22</v>
      </c>
      <c r="I60" s="6" t="s">
        <v>23</v>
      </c>
      <c r="J60" s="9">
        <f t="shared" si="0"/>
        <v>19999.997577000002</v>
      </c>
      <c r="K60" s="15" t="s">
        <v>16</v>
      </c>
      <c r="L60" s="13"/>
      <c r="M60" s="13"/>
      <c r="N60" s="14"/>
    </row>
    <row r="61" spans="1:14" x14ac:dyDescent="0.35">
      <c r="A61" s="16" t="s">
        <v>11</v>
      </c>
      <c r="B61" s="6" t="s">
        <v>12</v>
      </c>
      <c r="C61" s="12">
        <v>43237</v>
      </c>
      <c r="D61" s="8">
        <v>49.612000000000002</v>
      </c>
      <c r="E61" s="8">
        <v>40.3125</v>
      </c>
      <c r="F61" s="13"/>
      <c r="G61" s="13" t="s">
        <v>13</v>
      </c>
      <c r="H61" s="13" t="s">
        <v>14</v>
      </c>
      <c r="I61" s="6" t="s">
        <v>15</v>
      </c>
      <c r="J61" s="9">
        <f t="shared" si="0"/>
        <v>1999.9837500000001</v>
      </c>
      <c r="K61" s="15" t="s">
        <v>16</v>
      </c>
      <c r="L61" s="13"/>
      <c r="M61" s="13"/>
      <c r="N61" s="14"/>
    </row>
    <row r="62" spans="1:14" x14ac:dyDescent="0.35">
      <c r="A62" s="16" t="s">
        <v>20</v>
      </c>
      <c r="B62" s="6" t="s">
        <v>21</v>
      </c>
      <c r="C62" s="12">
        <v>43237</v>
      </c>
      <c r="D62" s="8">
        <v>233.13800000000001</v>
      </c>
      <c r="E62" s="8">
        <v>32.169800000000002</v>
      </c>
      <c r="F62" s="13"/>
      <c r="G62" s="13" t="s">
        <v>13</v>
      </c>
      <c r="H62" s="13" t="s">
        <v>22</v>
      </c>
      <c r="I62" s="6" t="s">
        <v>23</v>
      </c>
      <c r="J62" s="9">
        <f t="shared" si="0"/>
        <v>7500.0028324000004</v>
      </c>
      <c r="K62" s="15" t="s">
        <v>16</v>
      </c>
      <c r="L62" s="13"/>
      <c r="M62" s="13"/>
      <c r="N62" s="14"/>
    </row>
    <row r="63" spans="1:14" x14ac:dyDescent="0.35">
      <c r="A63" s="16" t="s">
        <v>11</v>
      </c>
      <c r="B63" s="6" t="s">
        <v>12</v>
      </c>
      <c r="C63" s="12">
        <v>43238</v>
      </c>
      <c r="D63" s="8">
        <v>50.179000000000002</v>
      </c>
      <c r="E63" s="8">
        <v>39.857100000000003</v>
      </c>
      <c r="F63" s="13"/>
      <c r="G63" s="13" t="s">
        <v>13</v>
      </c>
      <c r="H63" s="13" t="s">
        <v>14</v>
      </c>
      <c r="I63" s="6" t="s">
        <v>15</v>
      </c>
      <c r="J63" s="9">
        <f t="shared" si="0"/>
        <v>1999.9894209000001</v>
      </c>
      <c r="K63" s="15" t="s">
        <v>16</v>
      </c>
      <c r="L63" s="13"/>
      <c r="M63" s="13"/>
      <c r="N63" s="14"/>
    </row>
    <row r="64" spans="1:14" x14ac:dyDescent="0.35">
      <c r="A64" s="16" t="s">
        <v>20</v>
      </c>
      <c r="B64" s="6" t="s">
        <v>21</v>
      </c>
      <c r="C64" s="12">
        <v>43238</v>
      </c>
      <c r="D64" s="8">
        <v>235.49700000000001</v>
      </c>
      <c r="E64" s="8">
        <v>31.8475</v>
      </c>
      <c r="F64" s="13"/>
      <c r="G64" s="13" t="s">
        <v>13</v>
      </c>
      <c r="H64" s="13" t="s">
        <v>22</v>
      </c>
      <c r="I64" s="6" t="s">
        <v>23</v>
      </c>
      <c r="J64" s="9">
        <f t="shared" si="0"/>
        <v>7499.9907075000001</v>
      </c>
      <c r="K64" s="15" t="s">
        <v>16</v>
      </c>
      <c r="L64" s="13"/>
      <c r="M64" s="13"/>
      <c r="N64" s="14"/>
    </row>
    <row r="65" spans="1:14" x14ac:dyDescent="0.35">
      <c r="A65" s="16" t="s">
        <v>11</v>
      </c>
      <c r="B65" s="6" t="s">
        <v>12</v>
      </c>
      <c r="C65" s="12">
        <v>43241</v>
      </c>
      <c r="D65" s="8">
        <v>50.722999999999999</v>
      </c>
      <c r="E65" s="8">
        <v>39.429699999999997</v>
      </c>
      <c r="F65" s="13"/>
      <c r="G65" s="13" t="s">
        <v>13</v>
      </c>
      <c r="H65" s="13" t="s">
        <v>14</v>
      </c>
      <c r="I65" s="6" t="s">
        <v>15</v>
      </c>
      <c r="J65" s="9">
        <f t="shared" si="0"/>
        <v>1999.9926730999998</v>
      </c>
      <c r="K65" s="15" t="s">
        <v>16</v>
      </c>
      <c r="L65" s="13"/>
      <c r="M65" s="13"/>
      <c r="N65" s="14"/>
    </row>
    <row r="66" spans="1:14" x14ac:dyDescent="0.35">
      <c r="A66" s="16" t="s">
        <v>20</v>
      </c>
      <c r="B66" s="6" t="s">
        <v>21</v>
      </c>
      <c r="C66" s="12">
        <v>43241</v>
      </c>
      <c r="D66" s="8">
        <v>159.69399999999999</v>
      </c>
      <c r="E66" s="8">
        <v>31.309899999999999</v>
      </c>
      <c r="F66" s="13"/>
      <c r="G66" s="13" t="s">
        <v>13</v>
      </c>
      <c r="H66" s="13" t="s">
        <v>22</v>
      </c>
      <c r="I66" s="6" t="s">
        <v>23</v>
      </c>
      <c r="J66" s="9">
        <f t="shared" ref="J66:J129" si="1">D66*E66</f>
        <v>5000.0031705999991</v>
      </c>
      <c r="K66" s="15" t="s">
        <v>16</v>
      </c>
      <c r="L66" s="13"/>
      <c r="M66" s="13"/>
      <c r="N66" s="14"/>
    </row>
    <row r="67" spans="1:14" x14ac:dyDescent="0.35">
      <c r="A67" s="16" t="s">
        <v>11</v>
      </c>
      <c r="B67" s="6" t="s">
        <v>12</v>
      </c>
      <c r="C67" s="12">
        <v>43242</v>
      </c>
      <c r="D67" s="8">
        <v>25.254000000000001</v>
      </c>
      <c r="E67" s="8">
        <v>39.5976</v>
      </c>
      <c r="F67" s="13"/>
      <c r="G67" s="13" t="s">
        <v>13</v>
      </c>
      <c r="H67" s="13" t="s">
        <v>14</v>
      </c>
      <c r="I67" s="6" t="s">
        <v>15</v>
      </c>
      <c r="J67" s="9">
        <f t="shared" si="1"/>
        <v>999.9977904000001</v>
      </c>
      <c r="K67" s="15" t="s">
        <v>16</v>
      </c>
      <c r="L67" s="13"/>
      <c r="M67" s="13"/>
      <c r="N67" s="14"/>
    </row>
    <row r="68" spans="1:14" x14ac:dyDescent="0.35">
      <c r="A68" s="16" t="s">
        <v>11</v>
      </c>
      <c r="B68" s="6" t="s">
        <v>12</v>
      </c>
      <c r="C68" s="12">
        <v>43243</v>
      </c>
      <c r="D68" s="8">
        <v>25.465</v>
      </c>
      <c r="E68" s="8">
        <v>39.270099999999999</v>
      </c>
      <c r="F68" s="13"/>
      <c r="G68" s="13" t="s">
        <v>13</v>
      </c>
      <c r="H68" s="13" t="s">
        <v>14</v>
      </c>
      <c r="I68" s="6" t="s">
        <v>15</v>
      </c>
      <c r="J68" s="9">
        <f t="shared" si="1"/>
        <v>1000.0130965</v>
      </c>
      <c r="K68" s="15" t="s">
        <v>16</v>
      </c>
      <c r="L68" s="13"/>
      <c r="M68" s="13"/>
      <c r="N68" s="14"/>
    </row>
    <row r="69" spans="1:14" x14ac:dyDescent="0.35">
      <c r="A69" s="16" t="s">
        <v>20</v>
      </c>
      <c r="B69" s="6" t="s">
        <v>21</v>
      </c>
      <c r="C69" s="12">
        <v>43243</v>
      </c>
      <c r="D69" s="8">
        <v>318.64800000000002</v>
      </c>
      <c r="E69" s="8">
        <v>31.3826</v>
      </c>
      <c r="F69" s="13"/>
      <c r="G69" s="13" t="s">
        <v>13</v>
      </c>
      <c r="H69" s="13" t="s">
        <v>22</v>
      </c>
      <c r="I69" s="6" t="s">
        <v>23</v>
      </c>
      <c r="J69" s="9">
        <f t="shared" si="1"/>
        <v>10000.002724800001</v>
      </c>
      <c r="K69" s="15" t="s">
        <v>16</v>
      </c>
      <c r="L69" s="13"/>
      <c r="M69" s="13"/>
      <c r="N69" s="14"/>
    </row>
    <row r="70" spans="1:14" x14ac:dyDescent="0.35">
      <c r="A70" s="16" t="s">
        <v>20</v>
      </c>
      <c r="B70" s="6" t="s">
        <v>21</v>
      </c>
      <c r="C70" s="12">
        <v>43249</v>
      </c>
      <c r="D70" s="8">
        <v>156.19900000000001</v>
      </c>
      <c r="E70" s="8">
        <v>32.010399999999997</v>
      </c>
      <c r="F70" s="13"/>
      <c r="G70" s="13" t="s">
        <v>13</v>
      </c>
      <c r="H70" s="13" t="s">
        <v>22</v>
      </c>
      <c r="I70" s="6" t="s">
        <v>23</v>
      </c>
      <c r="J70" s="9">
        <f t="shared" si="1"/>
        <v>4999.9924695999998</v>
      </c>
      <c r="K70" s="15" t="s">
        <v>16</v>
      </c>
      <c r="L70" s="13"/>
      <c r="M70" s="13"/>
      <c r="N70" s="14"/>
    </row>
    <row r="71" spans="1:14" x14ac:dyDescent="0.35">
      <c r="A71" s="16" t="s">
        <v>20</v>
      </c>
      <c r="B71" s="6" t="s">
        <v>21</v>
      </c>
      <c r="C71" s="12">
        <v>43250</v>
      </c>
      <c r="D71" s="8">
        <v>77.905000000000001</v>
      </c>
      <c r="E71" s="8">
        <v>32.090400000000002</v>
      </c>
      <c r="F71" s="13"/>
      <c r="G71" s="13" t="s">
        <v>13</v>
      </c>
      <c r="H71" s="13" t="s">
        <v>22</v>
      </c>
      <c r="I71" s="6" t="s">
        <v>23</v>
      </c>
      <c r="J71" s="9">
        <f t="shared" si="1"/>
        <v>2500.0026120000002</v>
      </c>
      <c r="K71" s="15" t="s">
        <v>16</v>
      </c>
      <c r="L71" s="13"/>
      <c r="M71" s="13"/>
      <c r="N71" s="14"/>
    </row>
    <row r="72" spans="1:14" x14ac:dyDescent="0.35">
      <c r="A72" s="16" t="s">
        <v>20</v>
      </c>
      <c r="B72" s="6" t="s">
        <v>21</v>
      </c>
      <c r="C72" s="12">
        <v>43251</v>
      </c>
      <c r="D72" s="8">
        <v>77.581999999999994</v>
      </c>
      <c r="E72" s="8">
        <v>32.223999999999997</v>
      </c>
      <c r="F72" s="13"/>
      <c r="G72" s="13" t="s">
        <v>13</v>
      </c>
      <c r="H72" s="13" t="s">
        <v>22</v>
      </c>
      <c r="I72" s="6" t="s">
        <v>23</v>
      </c>
      <c r="J72" s="9">
        <f t="shared" si="1"/>
        <v>2500.0023679999995</v>
      </c>
      <c r="K72" s="15" t="s">
        <v>16</v>
      </c>
      <c r="L72" s="13"/>
      <c r="M72" s="13"/>
      <c r="N72" s="14"/>
    </row>
    <row r="73" spans="1:14" x14ac:dyDescent="0.35">
      <c r="A73" s="16" t="s">
        <v>11</v>
      </c>
      <c r="B73" s="6" t="s">
        <v>12</v>
      </c>
      <c r="C73" s="12">
        <v>43278</v>
      </c>
      <c r="D73" s="8">
        <v>50.688000000000002</v>
      </c>
      <c r="E73" s="8">
        <v>39.456800000000001</v>
      </c>
      <c r="F73" s="13"/>
      <c r="G73" s="13" t="s">
        <v>13</v>
      </c>
      <c r="H73" s="13" t="s">
        <v>14</v>
      </c>
      <c r="I73" s="6" t="s">
        <v>15</v>
      </c>
      <c r="J73" s="9">
        <f t="shared" si="1"/>
        <v>1999.9862784000002</v>
      </c>
      <c r="K73" s="15" t="s">
        <v>16</v>
      </c>
      <c r="L73" s="13"/>
      <c r="M73" s="13"/>
      <c r="N73" s="14"/>
    </row>
    <row r="74" spans="1:14" x14ac:dyDescent="0.35">
      <c r="A74" s="16" t="s">
        <v>11</v>
      </c>
      <c r="B74" s="6" t="s">
        <v>12</v>
      </c>
      <c r="C74" s="12">
        <v>43279</v>
      </c>
      <c r="D74" s="8">
        <v>51.180999999999997</v>
      </c>
      <c r="E74" s="8">
        <v>39.077100000000002</v>
      </c>
      <c r="F74" s="13"/>
      <c r="G74" s="13" t="s">
        <v>13</v>
      </c>
      <c r="H74" s="13" t="s">
        <v>14</v>
      </c>
      <c r="I74" s="6" t="s">
        <v>15</v>
      </c>
      <c r="J74" s="9">
        <f t="shared" si="1"/>
        <v>2000.0050550999999</v>
      </c>
      <c r="K74" s="15" t="s">
        <v>16</v>
      </c>
      <c r="L74" s="13"/>
      <c r="M74" s="13"/>
      <c r="N74" s="14"/>
    </row>
    <row r="75" spans="1:14" x14ac:dyDescent="0.35">
      <c r="A75" s="16" t="s">
        <v>11</v>
      </c>
      <c r="B75" s="6" t="s">
        <v>12</v>
      </c>
      <c r="C75" s="12">
        <v>43283</v>
      </c>
      <c r="D75" s="8">
        <v>51.015999999999998</v>
      </c>
      <c r="E75" s="8">
        <v>39.203200000000002</v>
      </c>
      <c r="F75" s="13"/>
      <c r="G75" s="13" t="s">
        <v>13</v>
      </c>
      <c r="H75" s="13" t="s">
        <v>14</v>
      </c>
      <c r="I75" s="6" t="s">
        <v>15</v>
      </c>
      <c r="J75" s="9">
        <f t="shared" si="1"/>
        <v>1999.9904512000001</v>
      </c>
      <c r="K75" s="15" t="s">
        <v>16</v>
      </c>
      <c r="L75" s="13"/>
      <c r="M75" s="13"/>
      <c r="N75" s="14"/>
    </row>
    <row r="76" spans="1:14" x14ac:dyDescent="0.35">
      <c r="A76" s="16" t="s">
        <v>11</v>
      </c>
      <c r="B76" s="6" t="s">
        <v>12</v>
      </c>
      <c r="C76" s="12">
        <v>43287</v>
      </c>
      <c r="D76" s="8">
        <v>25.334</v>
      </c>
      <c r="E76" s="8">
        <v>39.472499999999997</v>
      </c>
      <c r="F76" s="13"/>
      <c r="G76" s="13" t="s">
        <v>13</v>
      </c>
      <c r="H76" s="13" t="s">
        <v>14</v>
      </c>
      <c r="I76" s="6" t="s">
        <v>15</v>
      </c>
      <c r="J76" s="9">
        <f t="shared" si="1"/>
        <v>999.99631499999987</v>
      </c>
      <c r="K76" s="15" t="s">
        <v>16</v>
      </c>
      <c r="L76" s="13"/>
      <c r="M76" s="13"/>
      <c r="N76" s="14"/>
    </row>
    <row r="77" spans="1:14" x14ac:dyDescent="0.35">
      <c r="A77" s="16" t="s">
        <v>11</v>
      </c>
      <c r="B77" s="6" t="s">
        <v>12</v>
      </c>
      <c r="C77" s="12">
        <v>43290</v>
      </c>
      <c r="D77" s="8">
        <v>25.091999999999999</v>
      </c>
      <c r="E77" s="8">
        <v>39.8536</v>
      </c>
      <c r="F77" s="13"/>
      <c r="G77" s="13" t="s">
        <v>13</v>
      </c>
      <c r="H77" s="13" t="s">
        <v>14</v>
      </c>
      <c r="I77" s="6" t="s">
        <v>15</v>
      </c>
      <c r="J77" s="9">
        <f t="shared" si="1"/>
        <v>1000.0065311999999</v>
      </c>
      <c r="K77" s="15" t="s">
        <v>16</v>
      </c>
      <c r="L77" s="13"/>
      <c r="M77" s="13"/>
      <c r="N77" s="14"/>
    </row>
    <row r="78" spans="1:14" x14ac:dyDescent="0.35">
      <c r="A78" s="16" t="s">
        <v>11</v>
      </c>
      <c r="B78" s="6" t="s">
        <v>12</v>
      </c>
      <c r="C78" s="12">
        <v>43292</v>
      </c>
      <c r="D78" s="8">
        <v>25.05</v>
      </c>
      <c r="E78" s="8">
        <v>39.919699999999999</v>
      </c>
      <c r="F78" s="13"/>
      <c r="G78" s="13" t="s">
        <v>13</v>
      </c>
      <c r="H78" s="13" t="s">
        <v>14</v>
      </c>
      <c r="I78" s="6" t="s">
        <v>15</v>
      </c>
      <c r="J78" s="9">
        <f t="shared" si="1"/>
        <v>999.98848499999997</v>
      </c>
      <c r="K78" s="15" t="s">
        <v>16</v>
      </c>
      <c r="L78" s="13"/>
      <c r="M78" s="13"/>
      <c r="N78" s="14"/>
    </row>
    <row r="79" spans="1:14" x14ac:dyDescent="0.35">
      <c r="A79" s="16" t="s">
        <v>11</v>
      </c>
      <c r="B79" s="6" t="s">
        <v>12</v>
      </c>
      <c r="C79" s="12">
        <v>43293</v>
      </c>
      <c r="D79" s="8">
        <v>24.975999999999999</v>
      </c>
      <c r="E79" s="8">
        <v>40.038200000000003</v>
      </c>
      <c r="F79" s="13"/>
      <c r="G79" s="13" t="s">
        <v>13</v>
      </c>
      <c r="H79" s="13" t="s">
        <v>14</v>
      </c>
      <c r="I79" s="6" t="s">
        <v>15</v>
      </c>
      <c r="J79" s="9">
        <f t="shared" si="1"/>
        <v>999.99408320000009</v>
      </c>
      <c r="K79" s="15" t="s">
        <v>16</v>
      </c>
      <c r="L79" s="13"/>
      <c r="M79" s="13"/>
      <c r="N79" s="14"/>
    </row>
    <row r="80" spans="1:14" x14ac:dyDescent="0.35">
      <c r="A80" s="16" t="s">
        <v>20</v>
      </c>
      <c r="B80" s="6" t="s">
        <v>21</v>
      </c>
      <c r="C80" s="12">
        <v>43293</v>
      </c>
      <c r="D80" s="8">
        <v>31.04</v>
      </c>
      <c r="E80" s="8">
        <v>32.216500000000003</v>
      </c>
      <c r="F80" s="13"/>
      <c r="G80" s="13" t="s">
        <v>13</v>
      </c>
      <c r="H80" s="13" t="s">
        <v>22</v>
      </c>
      <c r="I80" s="6" t="s">
        <v>23</v>
      </c>
      <c r="J80" s="9">
        <f t="shared" si="1"/>
        <v>1000.0001600000001</v>
      </c>
      <c r="K80" s="15" t="s">
        <v>16</v>
      </c>
      <c r="L80" s="13"/>
      <c r="M80" s="13"/>
      <c r="N80" s="14"/>
    </row>
    <row r="81" spans="1:14" x14ac:dyDescent="0.35">
      <c r="A81" s="16" t="s">
        <v>11</v>
      </c>
      <c r="B81" s="6" t="s">
        <v>12</v>
      </c>
      <c r="C81" s="12">
        <v>43313</v>
      </c>
      <c r="D81" s="8">
        <v>242.07300000000001</v>
      </c>
      <c r="E81" s="8">
        <v>41.309899999999999</v>
      </c>
      <c r="F81" s="13"/>
      <c r="G81" s="13" t="s">
        <v>13</v>
      </c>
      <c r="H81" s="13" t="s">
        <v>14</v>
      </c>
      <c r="I81" s="6" t="s">
        <v>15</v>
      </c>
      <c r="J81" s="9">
        <f t="shared" si="1"/>
        <v>10000.011422699999</v>
      </c>
      <c r="K81" s="15" t="s">
        <v>16</v>
      </c>
      <c r="L81" s="13"/>
      <c r="M81" s="13"/>
      <c r="N81" s="14"/>
    </row>
    <row r="82" spans="1:14" x14ac:dyDescent="0.35">
      <c r="A82" s="16" t="s">
        <v>20</v>
      </c>
      <c r="B82" s="6" t="s">
        <v>21</v>
      </c>
      <c r="C82" s="12">
        <v>43318</v>
      </c>
      <c r="D82" s="8">
        <v>30.327000000000002</v>
      </c>
      <c r="E82" s="8">
        <v>32.973500000000001</v>
      </c>
      <c r="F82" s="13"/>
      <c r="G82" s="13" t="s">
        <v>13</v>
      </c>
      <c r="H82" s="13" t="s">
        <v>22</v>
      </c>
      <c r="I82" s="6" t="s">
        <v>23</v>
      </c>
      <c r="J82" s="9">
        <f t="shared" si="1"/>
        <v>999.98733450000009</v>
      </c>
      <c r="K82" s="15" t="s">
        <v>16</v>
      </c>
      <c r="L82" s="13"/>
      <c r="M82" s="13"/>
      <c r="N82" s="14"/>
    </row>
    <row r="83" spans="1:14" x14ac:dyDescent="0.35">
      <c r="A83" s="16" t="s">
        <v>20</v>
      </c>
      <c r="B83" s="6" t="s">
        <v>21</v>
      </c>
      <c r="C83" s="12">
        <v>43322</v>
      </c>
      <c r="D83" s="8">
        <v>91.088999999999999</v>
      </c>
      <c r="E83" s="8">
        <v>32.934699999999999</v>
      </c>
      <c r="F83" s="13"/>
      <c r="G83" s="13" t="s">
        <v>13</v>
      </c>
      <c r="H83" s="13" t="s">
        <v>22</v>
      </c>
      <c r="I83" s="6" t="s">
        <v>23</v>
      </c>
      <c r="J83" s="9">
        <f t="shared" si="1"/>
        <v>2999.9888882999999</v>
      </c>
      <c r="K83" s="15" t="s">
        <v>16</v>
      </c>
      <c r="L83" s="13"/>
      <c r="M83" s="13"/>
      <c r="N83" s="14"/>
    </row>
    <row r="84" spans="1:14" x14ac:dyDescent="0.35">
      <c r="A84" s="16" t="s">
        <v>24</v>
      </c>
      <c r="B84" s="6" t="s">
        <v>25</v>
      </c>
      <c r="C84" s="12">
        <v>43332</v>
      </c>
      <c r="D84" s="8">
        <v>38.399000000000001</v>
      </c>
      <c r="E84" s="8">
        <v>26.042300000000001</v>
      </c>
      <c r="F84" s="13"/>
      <c r="G84" s="13" t="s">
        <v>13</v>
      </c>
      <c r="H84" s="13" t="s">
        <v>14</v>
      </c>
      <c r="I84" s="6" t="s">
        <v>26</v>
      </c>
      <c r="J84" s="9">
        <f t="shared" si="1"/>
        <v>999.99827770000002</v>
      </c>
      <c r="K84" s="15" t="s">
        <v>16</v>
      </c>
      <c r="L84" s="13"/>
      <c r="M84" s="13"/>
      <c r="N84" s="14"/>
    </row>
    <row r="85" spans="1:14" x14ac:dyDescent="0.35">
      <c r="A85" s="16" t="s">
        <v>24</v>
      </c>
      <c r="B85" s="6" t="s">
        <v>25</v>
      </c>
      <c r="C85" s="12">
        <v>43339</v>
      </c>
      <c r="D85" s="8">
        <v>38.085000000000001</v>
      </c>
      <c r="E85" s="8">
        <v>26.257200000000001</v>
      </c>
      <c r="F85" s="13"/>
      <c r="G85" s="13" t="s">
        <v>13</v>
      </c>
      <c r="H85" s="13" t="s">
        <v>14</v>
      </c>
      <c r="I85" s="6" t="s">
        <v>26</v>
      </c>
      <c r="J85" s="9">
        <f t="shared" si="1"/>
        <v>1000.0054620000001</v>
      </c>
      <c r="K85" s="15" t="s">
        <v>16</v>
      </c>
      <c r="L85" s="13"/>
      <c r="M85" s="13"/>
      <c r="N85" s="14"/>
    </row>
    <row r="86" spans="1:14" x14ac:dyDescent="0.35">
      <c r="A86" s="16" t="s">
        <v>20</v>
      </c>
      <c r="B86" s="6" t="s">
        <v>21</v>
      </c>
      <c r="C86" s="12">
        <v>43341</v>
      </c>
      <c r="D86" s="8">
        <v>29.794</v>
      </c>
      <c r="E86" s="8">
        <v>33.5642</v>
      </c>
      <c r="F86" s="13"/>
      <c r="G86" s="13" t="s">
        <v>13</v>
      </c>
      <c r="H86" s="13" t="s">
        <v>22</v>
      </c>
      <c r="I86" s="6" t="s">
        <v>23</v>
      </c>
      <c r="J86" s="9">
        <f t="shared" si="1"/>
        <v>1000.0117748</v>
      </c>
      <c r="K86" s="15" t="s">
        <v>16</v>
      </c>
      <c r="L86" s="13"/>
      <c r="M86" s="13"/>
      <c r="N86" s="14"/>
    </row>
    <row r="87" spans="1:14" x14ac:dyDescent="0.35">
      <c r="A87" s="16" t="s">
        <v>24</v>
      </c>
      <c r="B87" s="6" t="s">
        <v>25</v>
      </c>
      <c r="C87" s="12">
        <v>43342</v>
      </c>
      <c r="D87" s="8">
        <v>37.713000000000001</v>
      </c>
      <c r="E87" s="8">
        <v>26.516100000000002</v>
      </c>
      <c r="F87" s="13"/>
      <c r="G87" s="13" t="s">
        <v>13</v>
      </c>
      <c r="H87" s="13" t="s">
        <v>14</v>
      </c>
      <c r="I87" s="6" t="s">
        <v>26</v>
      </c>
      <c r="J87" s="9">
        <f t="shared" si="1"/>
        <v>1000.0016793000001</v>
      </c>
      <c r="K87" s="15" t="s">
        <v>16</v>
      </c>
      <c r="L87" s="13"/>
      <c r="M87" s="13"/>
      <c r="N87" s="14"/>
    </row>
    <row r="88" spans="1:14" x14ac:dyDescent="0.35">
      <c r="A88" s="16" t="s">
        <v>11</v>
      </c>
      <c r="B88" s="6" t="s">
        <v>12</v>
      </c>
      <c r="C88" s="12">
        <v>43342</v>
      </c>
      <c r="D88" s="8">
        <v>47.491</v>
      </c>
      <c r="E88" s="8">
        <v>42.113300000000002</v>
      </c>
      <c r="F88" s="13"/>
      <c r="G88" s="13" t="s">
        <v>13</v>
      </c>
      <c r="H88" s="13" t="s">
        <v>14</v>
      </c>
      <c r="I88" s="6" t="s">
        <v>15</v>
      </c>
      <c r="J88" s="9">
        <f t="shared" si="1"/>
        <v>2000.0027303000002</v>
      </c>
      <c r="K88" s="15" t="s">
        <v>16</v>
      </c>
      <c r="L88" s="13"/>
      <c r="M88" s="13"/>
      <c r="N88" s="14"/>
    </row>
    <row r="89" spans="1:14" x14ac:dyDescent="0.35">
      <c r="A89" s="16" t="s">
        <v>11</v>
      </c>
      <c r="B89" s="6" t="s">
        <v>12</v>
      </c>
      <c r="C89" s="12">
        <v>43343</v>
      </c>
      <c r="D89" s="8">
        <v>47.335000000000001</v>
      </c>
      <c r="E89" s="8">
        <v>42.252000000000002</v>
      </c>
      <c r="F89" s="13"/>
      <c r="G89" s="13" t="s">
        <v>13</v>
      </c>
      <c r="H89" s="13" t="s">
        <v>14</v>
      </c>
      <c r="I89" s="6" t="s">
        <v>15</v>
      </c>
      <c r="J89" s="9">
        <f t="shared" si="1"/>
        <v>1999.9984200000001</v>
      </c>
      <c r="K89" s="15" t="s">
        <v>16</v>
      </c>
      <c r="L89" s="13"/>
      <c r="M89" s="13"/>
      <c r="N89" s="14"/>
    </row>
    <row r="90" spans="1:14" x14ac:dyDescent="0.35">
      <c r="A90" s="16" t="s">
        <v>24</v>
      </c>
      <c r="B90" s="6" t="s">
        <v>25</v>
      </c>
      <c r="C90" s="12">
        <v>43346</v>
      </c>
      <c r="D90" s="8">
        <v>75.930000000000007</v>
      </c>
      <c r="E90" s="8">
        <v>26.3399</v>
      </c>
      <c r="F90" s="13"/>
      <c r="G90" s="13" t="s">
        <v>13</v>
      </c>
      <c r="H90" s="13" t="s">
        <v>14</v>
      </c>
      <c r="I90" s="6" t="s">
        <v>26</v>
      </c>
      <c r="J90" s="9">
        <f t="shared" si="1"/>
        <v>1999.9886070000002</v>
      </c>
      <c r="K90" s="15" t="s">
        <v>16</v>
      </c>
      <c r="L90" s="13"/>
      <c r="M90" s="13"/>
      <c r="N90" s="14"/>
    </row>
    <row r="91" spans="1:14" x14ac:dyDescent="0.35">
      <c r="A91" s="16" t="s">
        <v>11</v>
      </c>
      <c r="B91" s="6" t="s">
        <v>12</v>
      </c>
      <c r="C91" s="12">
        <v>43346</v>
      </c>
      <c r="D91" s="8">
        <v>47.558</v>
      </c>
      <c r="E91" s="8">
        <v>42.053800000000003</v>
      </c>
      <c r="F91" s="13"/>
      <c r="G91" s="13" t="s">
        <v>13</v>
      </c>
      <c r="H91" s="13" t="s">
        <v>14</v>
      </c>
      <c r="I91" s="6" t="s">
        <v>15</v>
      </c>
      <c r="J91" s="9">
        <f t="shared" si="1"/>
        <v>1999.9946204</v>
      </c>
      <c r="K91" s="15" t="s">
        <v>16</v>
      </c>
      <c r="L91" s="13"/>
      <c r="M91" s="13"/>
      <c r="N91" s="14"/>
    </row>
    <row r="92" spans="1:14" x14ac:dyDescent="0.35">
      <c r="A92" s="16" t="s">
        <v>20</v>
      </c>
      <c r="B92" s="6" t="s">
        <v>21</v>
      </c>
      <c r="C92" s="12">
        <v>43346</v>
      </c>
      <c r="D92" s="8">
        <v>60.304000000000002</v>
      </c>
      <c r="E92" s="8">
        <v>33.165500000000002</v>
      </c>
      <c r="F92" s="13"/>
      <c r="G92" s="13" t="s">
        <v>13</v>
      </c>
      <c r="H92" s="13" t="s">
        <v>22</v>
      </c>
      <c r="I92" s="6" t="s">
        <v>23</v>
      </c>
      <c r="J92" s="9">
        <f t="shared" si="1"/>
        <v>2000.0123120000001</v>
      </c>
      <c r="K92" s="15" t="s">
        <v>16</v>
      </c>
      <c r="L92" s="13"/>
      <c r="M92" s="13"/>
      <c r="N92" s="14"/>
    </row>
    <row r="93" spans="1:14" x14ac:dyDescent="0.35">
      <c r="A93" s="16" t="s">
        <v>11</v>
      </c>
      <c r="B93" s="6" t="s">
        <v>12</v>
      </c>
      <c r="C93" s="12">
        <v>43347</v>
      </c>
      <c r="D93" s="8">
        <v>96.491</v>
      </c>
      <c r="E93" s="8">
        <v>41.454700000000003</v>
      </c>
      <c r="F93" s="13"/>
      <c r="G93" s="13" t="s">
        <v>13</v>
      </c>
      <c r="H93" s="13" t="s">
        <v>14</v>
      </c>
      <c r="I93" s="6" t="s">
        <v>15</v>
      </c>
      <c r="J93" s="9">
        <f t="shared" si="1"/>
        <v>4000.0054577000001</v>
      </c>
      <c r="K93" s="15" t="s">
        <v>16</v>
      </c>
      <c r="L93" s="13"/>
      <c r="M93" s="13"/>
      <c r="N93" s="14"/>
    </row>
    <row r="94" spans="1:14" x14ac:dyDescent="0.35">
      <c r="A94" s="16" t="s">
        <v>20</v>
      </c>
      <c r="B94" s="6" t="s">
        <v>21</v>
      </c>
      <c r="C94" s="12">
        <v>43347</v>
      </c>
      <c r="D94" s="8">
        <v>61.359000000000002</v>
      </c>
      <c r="E94" s="8">
        <v>32.594900000000003</v>
      </c>
      <c r="F94" s="13"/>
      <c r="G94" s="13" t="s">
        <v>13</v>
      </c>
      <c r="H94" s="13" t="s">
        <v>22</v>
      </c>
      <c r="I94" s="6" t="s">
        <v>23</v>
      </c>
      <c r="J94" s="9">
        <f t="shared" si="1"/>
        <v>1999.9904691000002</v>
      </c>
      <c r="K94" s="15" t="s">
        <v>16</v>
      </c>
      <c r="L94" s="13"/>
      <c r="M94" s="13"/>
      <c r="N94" s="14"/>
    </row>
    <row r="95" spans="1:14" x14ac:dyDescent="0.35">
      <c r="A95" s="16" t="s">
        <v>24</v>
      </c>
      <c r="B95" s="6" t="s">
        <v>25</v>
      </c>
      <c r="C95" s="12">
        <v>43354</v>
      </c>
      <c r="D95" s="8">
        <v>76.986999999999995</v>
      </c>
      <c r="E95" s="8">
        <v>25.978400000000001</v>
      </c>
      <c r="F95" s="13"/>
      <c r="G95" s="13" t="s">
        <v>13</v>
      </c>
      <c r="H95" s="13" t="s">
        <v>14</v>
      </c>
      <c r="I95" s="6" t="s">
        <v>26</v>
      </c>
      <c r="J95" s="9">
        <f t="shared" si="1"/>
        <v>1999.9990808</v>
      </c>
      <c r="K95" s="15" t="s">
        <v>16</v>
      </c>
      <c r="L95" s="13"/>
      <c r="M95" s="13"/>
      <c r="N95" s="14"/>
    </row>
    <row r="96" spans="1:14" x14ac:dyDescent="0.35">
      <c r="A96" s="16" t="s">
        <v>24</v>
      </c>
      <c r="B96" s="6" t="s">
        <v>25</v>
      </c>
      <c r="C96" s="12">
        <v>43376</v>
      </c>
      <c r="D96" s="8">
        <v>80.338999999999999</v>
      </c>
      <c r="E96" s="8">
        <v>24.894500000000001</v>
      </c>
      <c r="F96" s="13"/>
      <c r="G96" s="13" t="s">
        <v>13</v>
      </c>
      <c r="H96" s="13" t="s">
        <v>14</v>
      </c>
      <c r="I96" s="6" t="s">
        <v>26</v>
      </c>
      <c r="J96" s="9">
        <f t="shared" si="1"/>
        <v>1999.9992354999999</v>
      </c>
      <c r="K96" s="15" t="s">
        <v>16</v>
      </c>
      <c r="L96" s="13"/>
      <c r="M96" s="13"/>
      <c r="N96" s="14"/>
    </row>
    <row r="97" spans="1:14" x14ac:dyDescent="0.35">
      <c r="A97" s="16" t="s">
        <v>11</v>
      </c>
      <c r="B97" s="6" t="s">
        <v>12</v>
      </c>
      <c r="C97" s="12">
        <v>43376</v>
      </c>
      <c r="D97" s="8">
        <v>78.311000000000007</v>
      </c>
      <c r="E97" s="8">
        <v>38.308599999999998</v>
      </c>
      <c r="F97" s="13"/>
      <c r="G97" s="13" t="s">
        <v>13</v>
      </c>
      <c r="H97" s="13" t="s">
        <v>14</v>
      </c>
      <c r="I97" s="6" t="s">
        <v>15</v>
      </c>
      <c r="J97" s="9">
        <f t="shared" si="1"/>
        <v>2999.9847746</v>
      </c>
      <c r="K97" s="15" t="s">
        <v>16</v>
      </c>
      <c r="L97" s="13"/>
      <c r="M97" s="13"/>
      <c r="N97" s="14"/>
    </row>
    <row r="98" spans="1:14" x14ac:dyDescent="0.35">
      <c r="A98" s="16" t="s">
        <v>24</v>
      </c>
      <c r="B98" s="6" t="s">
        <v>25</v>
      </c>
      <c r="C98" s="12">
        <v>43377</v>
      </c>
      <c r="D98" s="8">
        <v>40.380000000000003</v>
      </c>
      <c r="E98" s="8">
        <v>24.764500000000002</v>
      </c>
      <c r="F98" s="13"/>
      <c r="G98" s="13" t="s">
        <v>13</v>
      </c>
      <c r="H98" s="13" t="s">
        <v>14</v>
      </c>
      <c r="I98" s="6" t="s">
        <v>26</v>
      </c>
      <c r="J98" s="9">
        <f t="shared" si="1"/>
        <v>999.99051000000009</v>
      </c>
      <c r="K98" s="15" t="s">
        <v>16</v>
      </c>
      <c r="L98" s="13"/>
      <c r="M98" s="13"/>
      <c r="N98" s="14"/>
    </row>
    <row r="99" spans="1:14" x14ac:dyDescent="0.35">
      <c r="A99" s="16" t="s">
        <v>11</v>
      </c>
      <c r="B99" s="6" t="s">
        <v>12</v>
      </c>
      <c r="C99" s="12">
        <v>43377</v>
      </c>
      <c r="D99" s="8">
        <v>79.805000000000007</v>
      </c>
      <c r="E99" s="8">
        <v>37.591500000000003</v>
      </c>
      <c r="F99" s="13"/>
      <c r="G99" s="13" t="s">
        <v>13</v>
      </c>
      <c r="H99" s="13" t="s">
        <v>14</v>
      </c>
      <c r="I99" s="6" t="s">
        <v>15</v>
      </c>
      <c r="J99" s="9">
        <f t="shared" si="1"/>
        <v>2999.9896575000007</v>
      </c>
      <c r="K99" s="15" t="s">
        <v>16</v>
      </c>
      <c r="L99" s="13"/>
      <c r="M99" s="13"/>
      <c r="N99" s="14"/>
    </row>
    <row r="100" spans="1:14" x14ac:dyDescent="0.35">
      <c r="A100" s="16" t="s">
        <v>20</v>
      </c>
      <c r="B100" s="6" t="s">
        <v>21</v>
      </c>
      <c r="C100" s="12">
        <v>43377</v>
      </c>
      <c r="D100" s="8">
        <v>70.155000000000001</v>
      </c>
      <c r="E100" s="8">
        <v>28.508500000000002</v>
      </c>
      <c r="F100" s="13"/>
      <c r="G100" s="13" t="s">
        <v>13</v>
      </c>
      <c r="H100" s="13" t="s">
        <v>22</v>
      </c>
      <c r="I100" s="6" t="s">
        <v>23</v>
      </c>
      <c r="J100" s="9">
        <f t="shared" si="1"/>
        <v>2000.0138175000002</v>
      </c>
      <c r="K100" s="15" t="s">
        <v>16</v>
      </c>
      <c r="L100" s="13"/>
      <c r="M100" s="13"/>
      <c r="N100" s="14"/>
    </row>
    <row r="101" spans="1:14" x14ac:dyDescent="0.35">
      <c r="A101" s="16" t="s">
        <v>11</v>
      </c>
      <c r="B101" s="6" t="s">
        <v>12</v>
      </c>
      <c r="C101" s="12">
        <v>43378</v>
      </c>
      <c r="D101" s="8">
        <v>54.691000000000003</v>
      </c>
      <c r="E101" s="8">
        <v>36.569299999999998</v>
      </c>
      <c r="F101" s="13"/>
      <c r="G101" s="13" t="s">
        <v>13</v>
      </c>
      <c r="H101" s="13" t="s">
        <v>14</v>
      </c>
      <c r="I101" s="6" t="s">
        <v>15</v>
      </c>
      <c r="J101" s="9">
        <f t="shared" si="1"/>
        <v>2000.0115863000001</v>
      </c>
      <c r="K101" s="15" t="s">
        <v>16</v>
      </c>
      <c r="L101" s="13"/>
      <c r="M101" s="13"/>
      <c r="N101" s="14"/>
    </row>
    <row r="102" spans="1:14" x14ac:dyDescent="0.35">
      <c r="A102" s="16" t="s">
        <v>11</v>
      </c>
      <c r="B102" s="6" t="s">
        <v>12</v>
      </c>
      <c r="C102" s="12">
        <v>43381</v>
      </c>
      <c r="D102" s="8">
        <v>54.871000000000002</v>
      </c>
      <c r="E102" s="8">
        <v>36.448999999999998</v>
      </c>
      <c r="F102" s="13"/>
      <c r="G102" s="13" t="s">
        <v>13</v>
      </c>
      <c r="H102" s="13" t="s">
        <v>14</v>
      </c>
      <c r="I102" s="6" t="s">
        <v>15</v>
      </c>
      <c r="J102" s="9">
        <f t="shared" si="1"/>
        <v>1999.9930790000001</v>
      </c>
      <c r="K102" s="15" t="s">
        <v>16</v>
      </c>
      <c r="L102" s="13"/>
      <c r="M102" s="13"/>
      <c r="N102" s="14"/>
    </row>
    <row r="103" spans="1:14" x14ac:dyDescent="0.35">
      <c r="A103" s="16" t="s">
        <v>24</v>
      </c>
      <c r="B103" s="6" t="s">
        <v>25</v>
      </c>
      <c r="C103" s="12">
        <v>43418</v>
      </c>
      <c r="D103" s="8">
        <v>85.024000000000001</v>
      </c>
      <c r="E103" s="8">
        <v>23.5227</v>
      </c>
      <c r="F103" s="13"/>
      <c r="G103" s="13" t="s">
        <v>13</v>
      </c>
      <c r="H103" s="13" t="s">
        <v>14</v>
      </c>
      <c r="I103" s="6" t="s">
        <v>26</v>
      </c>
      <c r="J103" s="9">
        <f t="shared" si="1"/>
        <v>1999.9940448</v>
      </c>
      <c r="K103" s="15" t="s">
        <v>16</v>
      </c>
      <c r="L103" s="13"/>
      <c r="M103" s="13"/>
      <c r="N103" s="14"/>
    </row>
    <row r="104" spans="1:14" x14ac:dyDescent="0.35">
      <c r="A104" s="16" t="s">
        <v>11</v>
      </c>
      <c r="B104" s="6" t="s">
        <v>12</v>
      </c>
      <c r="C104" s="12">
        <v>43425</v>
      </c>
      <c r="D104" s="8">
        <v>77.727999999999994</v>
      </c>
      <c r="E104" s="8">
        <v>38.596200000000003</v>
      </c>
      <c r="F104" s="13"/>
      <c r="G104" s="13" t="s">
        <v>13</v>
      </c>
      <c r="H104" s="13" t="s">
        <v>14</v>
      </c>
      <c r="I104" s="6" t="s">
        <v>15</v>
      </c>
      <c r="J104" s="9">
        <f t="shared" si="1"/>
        <v>3000.0054335999998</v>
      </c>
      <c r="K104" s="15" t="s">
        <v>16</v>
      </c>
      <c r="L104" s="13"/>
      <c r="M104" s="13"/>
      <c r="N104" s="14"/>
    </row>
    <row r="105" spans="1:14" x14ac:dyDescent="0.35">
      <c r="A105" s="16" t="s">
        <v>24</v>
      </c>
      <c r="B105" s="6" t="s">
        <v>25</v>
      </c>
      <c r="C105" s="12">
        <v>43426</v>
      </c>
      <c r="D105" s="8">
        <v>42.390999999999998</v>
      </c>
      <c r="E105" s="8">
        <v>23.59</v>
      </c>
      <c r="F105" s="13"/>
      <c r="G105" s="13" t="s">
        <v>13</v>
      </c>
      <c r="H105" s="13" t="s">
        <v>14</v>
      </c>
      <c r="I105" s="6" t="s">
        <v>26</v>
      </c>
      <c r="J105" s="9">
        <f t="shared" si="1"/>
        <v>1000.00369</v>
      </c>
      <c r="K105" s="15" t="s">
        <v>16</v>
      </c>
      <c r="L105" s="13"/>
      <c r="M105" s="13"/>
      <c r="N105" s="14"/>
    </row>
    <row r="106" spans="1:14" x14ac:dyDescent="0.35">
      <c r="A106" s="16" t="s">
        <v>11</v>
      </c>
      <c r="B106" s="6" t="s">
        <v>12</v>
      </c>
      <c r="C106" s="12">
        <v>43426</v>
      </c>
      <c r="D106" s="8">
        <v>78.239999999999995</v>
      </c>
      <c r="E106" s="8">
        <v>38.343800000000002</v>
      </c>
      <c r="F106" s="13"/>
      <c r="G106" s="13" t="s">
        <v>13</v>
      </c>
      <c r="H106" s="13" t="s">
        <v>14</v>
      </c>
      <c r="I106" s="6" t="s">
        <v>15</v>
      </c>
      <c r="J106" s="9">
        <f t="shared" si="1"/>
        <v>3000.018912</v>
      </c>
      <c r="K106" s="15" t="s">
        <v>16</v>
      </c>
      <c r="L106" s="13"/>
      <c r="M106" s="13"/>
      <c r="N106" s="14"/>
    </row>
    <row r="107" spans="1:14" x14ac:dyDescent="0.35">
      <c r="A107" s="16" t="s">
        <v>20</v>
      </c>
      <c r="B107" s="6" t="s">
        <v>21</v>
      </c>
      <c r="C107" s="12">
        <v>43426</v>
      </c>
      <c r="D107" s="8">
        <v>67.751000000000005</v>
      </c>
      <c r="E107" s="8">
        <v>29.5199</v>
      </c>
      <c r="F107" s="13"/>
      <c r="G107" s="13" t="s">
        <v>13</v>
      </c>
      <c r="H107" s="13" t="s">
        <v>22</v>
      </c>
      <c r="I107" s="6" t="s">
        <v>23</v>
      </c>
      <c r="J107" s="9">
        <f t="shared" si="1"/>
        <v>2000.0027449000002</v>
      </c>
      <c r="K107" s="15" t="s">
        <v>16</v>
      </c>
      <c r="L107" s="13"/>
      <c r="M107" s="13"/>
      <c r="N107" s="14"/>
    </row>
    <row r="108" spans="1:14" x14ac:dyDescent="0.35">
      <c r="A108" s="16" t="s">
        <v>17</v>
      </c>
      <c r="B108" s="6" t="s">
        <v>18</v>
      </c>
      <c r="C108" s="12">
        <v>43431</v>
      </c>
      <c r="D108" s="8">
        <v>59.637999999999998</v>
      </c>
      <c r="E108" s="8">
        <v>41.919899999999998</v>
      </c>
      <c r="F108" s="13"/>
      <c r="G108" s="13" t="s">
        <v>13</v>
      </c>
      <c r="H108" s="13"/>
      <c r="I108" s="6" t="s">
        <v>19</v>
      </c>
      <c r="J108" s="9">
        <f t="shared" si="1"/>
        <v>2500.0189961999999</v>
      </c>
      <c r="K108" s="15" t="s">
        <v>16</v>
      </c>
      <c r="L108" s="13"/>
      <c r="M108" s="13"/>
      <c r="N108" s="14"/>
    </row>
    <row r="109" spans="1:14" x14ac:dyDescent="0.35">
      <c r="A109" s="16" t="s">
        <v>11</v>
      </c>
      <c r="B109" s="6" t="s">
        <v>12</v>
      </c>
      <c r="C109" s="12">
        <v>43439</v>
      </c>
      <c r="D109" s="8">
        <v>155.71700000000001</v>
      </c>
      <c r="E109" s="8">
        <v>38.531500000000001</v>
      </c>
      <c r="F109" s="13"/>
      <c r="G109" s="13" t="s">
        <v>13</v>
      </c>
      <c r="H109" s="13" t="s">
        <v>14</v>
      </c>
      <c r="I109" s="6" t="s">
        <v>15</v>
      </c>
      <c r="J109" s="9">
        <f t="shared" si="1"/>
        <v>6000.0095855000009</v>
      </c>
      <c r="K109" s="15" t="s">
        <v>16</v>
      </c>
      <c r="L109" s="13"/>
      <c r="M109" s="13"/>
      <c r="N109" s="14"/>
    </row>
    <row r="110" spans="1:14" x14ac:dyDescent="0.35">
      <c r="A110" s="16" t="s">
        <v>20</v>
      </c>
      <c r="B110" s="6" t="s">
        <v>21</v>
      </c>
      <c r="C110" s="12">
        <v>43439</v>
      </c>
      <c r="D110" s="8">
        <v>33.213000000000001</v>
      </c>
      <c r="E110" s="8">
        <v>30.108799999999999</v>
      </c>
      <c r="F110" s="13"/>
      <c r="G110" s="13" t="s">
        <v>13</v>
      </c>
      <c r="H110" s="13" t="s">
        <v>22</v>
      </c>
      <c r="I110" s="6" t="s">
        <v>23</v>
      </c>
      <c r="J110" s="9">
        <f t="shared" si="1"/>
        <v>1000.0035743999999</v>
      </c>
      <c r="K110" s="15" t="s">
        <v>16</v>
      </c>
      <c r="L110" s="13"/>
      <c r="M110" s="13"/>
      <c r="N110" s="14"/>
    </row>
    <row r="111" spans="1:14" x14ac:dyDescent="0.35">
      <c r="A111" s="16" t="s">
        <v>24</v>
      </c>
      <c r="B111" s="6" t="s">
        <v>25</v>
      </c>
      <c r="C111" s="12">
        <v>43440</v>
      </c>
      <c r="D111" s="8">
        <v>83.641000000000005</v>
      </c>
      <c r="E111" s="8">
        <v>23.9116</v>
      </c>
      <c r="F111" s="13"/>
      <c r="G111" s="13" t="s">
        <v>13</v>
      </c>
      <c r="H111" s="13" t="s">
        <v>14</v>
      </c>
      <c r="I111" s="6" t="s">
        <v>26</v>
      </c>
      <c r="J111" s="9">
        <f t="shared" si="1"/>
        <v>1999.9901356</v>
      </c>
      <c r="K111" s="15" t="s">
        <v>16</v>
      </c>
      <c r="L111" s="13"/>
      <c r="M111" s="13"/>
      <c r="N111" s="14"/>
    </row>
    <row r="112" spans="1:14" x14ac:dyDescent="0.35">
      <c r="A112" s="16" t="s">
        <v>11</v>
      </c>
      <c r="B112" s="6" t="s">
        <v>12</v>
      </c>
      <c r="C112" s="12">
        <v>43440</v>
      </c>
      <c r="D112" s="8">
        <v>210.791</v>
      </c>
      <c r="E112" s="8">
        <v>37.952199999999998</v>
      </c>
      <c r="F112" s="13"/>
      <c r="G112" s="13" t="s">
        <v>13</v>
      </c>
      <c r="H112" s="13" t="s">
        <v>14</v>
      </c>
      <c r="I112" s="6" t="s">
        <v>15</v>
      </c>
      <c r="J112" s="9">
        <f t="shared" si="1"/>
        <v>7999.9821901999994</v>
      </c>
      <c r="K112" s="15" t="s">
        <v>16</v>
      </c>
      <c r="L112" s="13"/>
      <c r="M112" s="13"/>
      <c r="N112" s="14"/>
    </row>
    <row r="113" spans="1:14" x14ac:dyDescent="0.35">
      <c r="A113" s="16" t="s">
        <v>20</v>
      </c>
      <c r="B113" s="6" t="s">
        <v>21</v>
      </c>
      <c r="C113" s="12">
        <v>43440</v>
      </c>
      <c r="D113" s="8">
        <v>1178.693</v>
      </c>
      <c r="E113" s="8">
        <v>29.693899999999999</v>
      </c>
      <c r="F113" s="13"/>
      <c r="G113" s="13" t="s">
        <v>13</v>
      </c>
      <c r="H113" s="13" t="s">
        <v>22</v>
      </c>
      <c r="I113" s="6" t="s">
        <v>23</v>
      </c>
      <c r="J113" s="9">
        <f t="shared" si="1"/>
        <v>34999.992072699999</v>
      </c>
      <c r="K113" s="15" t="s">
        <v>16</v>
      </c>
      <c r="L113" s="13"/>
      <c r="M113" s="13"/>
      <c r="N113" s="14"/>
    </row>
    <row r="114" spans="1:14" x14ac:dyDescent="0.35">
      <c r="A114" s="16" t="s">
        <v>24</v>
      </c>
      <c r="B114" s="6" t="s">
        <v>25</v>
      </c>
      <c r="C114" s="12">
        <v>43444</v>
      </c>
      <c r="D114" s="8">
        <v>84.231999999999999</v>
      </c>
      <c r="E114" s="8">
        <v>23.744</v>
      </c>
      <c r="F114" s="13"/>
      <c r="G114" s="13" t="s">
        <v>13</v>
      </c>
      <c r="H114" s="13" t="s">
        <v>14</v>
      </c>
      <c r="I114" s="6" t="s">
        <v>26</v>
      </c>
      <c r="J114" s="9">
        <f t="shared" si="1"/>
        <v>2000.004608</v>
      </c>
      <c r="K114" s="15" t="s">
        <v>16</v>
      </c>
      <c r="L114" s="13"/>
      <c r="M114" s="13"/>
      <c r="N114" s="14"/>
    </row>
    <row r="115" spans="1:14" x14ac:dyDescent="0.35">
      <c r="A115" s="16" t="s">
        <v>11</v>
      </c>
      <c r="B115" s="6" t="s">
        <v>12</v>
      </c>
      <c r="C115" s="12">
        <v>43444</v>
      </c>
      <c r="D115" s="8">
        <v>133.05099999999999</v>
      </c>
      <c r="E115" s="8">
        <v>37.579500000000003</v>
      </c>
      <c r="F115" s="13"/>
      <c r="G115" s="13" t="s">
        <v>13</v>
      </c>
      <c r="H115" s="13" t="s">
        <v>14</v>
      </c>
      <c r="I115" s="6" t="s">
        <v>15</v>
      </c>
      <c r="J115" s="9">
        <f t="shared" si="1"/>
        <v>4999.9900545</v>
      </c>
      <c r="K115" s="15" t="s">
        <v>16</v>
      </c>
      <c r="L115" s="13"/>
      <c r="M115" s="13"/>
      <c r="N115" s="14"/>
    </row>
    <row r="116" spans="1:14" x14ac:dyDescent="0.35">
      <c r="A116" s="16" t="s">
        <v>20</v>
      </c>
      <c r="B116" s="6" t="s">
        <v>21</v>
      </c>
      <c r="C116" s="12">
        <v>43444</v>
      </c>
      <c r="D116" s="8">
        <v>850.11500000000001</v>
      </c>
      <c r="E116" s="8">
        <v>29.407800000000002</v>
      </c>
      <c r="F116" s="13"/>
      <c r="G116" s="13" t="s">
        <v>13</v>
      </c>
      <c r="H116" s="13" t="s">
        <v>22</v>
      </c>
      <c r="I116" s="6" t="s">
        <v>23</v>
      </c>
      <c r="J116" s="9">
        <f t="shared" si="1"/>
        <v>25000.011897</v>
      </c>
      <c r="K116" s="15" t="s">
        <v>16</v>
      </c>
      <c r="L116" s="13"/>
      <c r="M116" s="13"/>
      <c r="N116" s="14"/>
    </row>
    <row r="117" spans="1:14" x14ac:dyDescent="0.35">
      <c r="A117" s="16" t="s">
        <v>24</v>
      </c>
      <c r="B117" s="6" t="s">
        <v>25</v>
      </c>
      <c r="C117" s="12">
        <v>43455</v>
      </c>
      <c r="D117" s="8">
        <v>41.844999999999999</v>
      </c>
      <c r="E117" s="8">
        <v>23.8979</v>
      </c>
      <c r="F117" s="13"/>
      <c r="G117" s="13" t="s">
        <v>13</v>
      </c>
      <c r="H117" s="13" t="s">
        <v>14</v>
      </c>
      <c r="I117" s="6" t="s">
        <v>26</v>
      </c>
      <c r="J117" s="9">
        <f t="shared" si="1"/>
        <v>1000.0076255</v>
      </c>
      <c r="K117" s="15" t="s">
        <v>16</v>
      </c>
      <c r="L117" s="13"/>
      <c r="M117" s="13"/>
      <c r="N117" s="14"/>
    </row>
    <row r="118" spans="1:14" x14ac:dyDescent="0.35">
      <c r="A118" s="16" t="s">
        <v>11</v>
      </c>
      <c r="B118" s="6" t="s">
        <v>12</v>
      </c>
      <c r="C118" s="12">
        <v>43460</v>
      </c>
      <c r="D118" s="8">
        <v>128.70500000000001</v>
      </c>
      <c r="E118" s="8">
        <v>38.848399999999998</v>
      </c>
      <c r="F118" s="13"/>
      <c r="G118" s="13" t="s">
        <v>13</v>
      </c>
      <c r="H118" s="13" t="s">
        <v>14</v>
      </c>
      <c r="I118" s="6" t="s">
        <v>15</v>
      </c>
      <c r="J118" s="9">
        <f t="shared" si="1"/>
        <v>4999.983322</v>
      </c>
      <c r="K118" s="15" t="s">
        <v>16</v>
      </c>
      <c r="L118" s="13"/>
      <c r="M118" s="13"/>
      <c r="N118" s="14"/>
    </row>
    <row r="119" spans="1:14" x14ac:dyDescent="0.35">
      <c r="A119" s="16" t="s">
        <v>24</v>
      </c>
      <c r="B119" s="6" t="s">
        <v>25</v>
      </c>
      <c r="C119" s="12">
        <v>43467</v>
      </c>
      <c r="D119" s="8">
        <v>83.207999999999998</v>
      </c>
      <c r="E119" s="8">
        <v>24.036100000000001</v>
      </c>
      <c r="F119" s="13"/>
      <c r="G119" s="13" t="s">
        <v>13</v>
      </c>
      <c r="H119" s="13" t="s">
        <v>14</v>
      </c>
      <c r="I119" s="6" t="s">
        <v>26</v>
      </c>
      <c r="J119" s="9">
        <f t="shared" si="1"/>
        <v>1999.9958088000001</v>
      </c>
      <c r="K119" s="15" t="s">
        <v>16</v>
      </c>
      <c r="L119" s="13"/>
      <c r="M119" s="13"/>
      <c r="N119" s="14"/>
    </row>
    <row r="120" spans="1:14" x14ac:dyDescent="0.35">
      <c r="A120" s="16" t="s">
        <v>17</v>
      </c>
      <c r="B120" s="6" t="s">
        <v>18</v>
      </c>
      <c r="C120" s="12">
        <v>43469</v>
      </c>
      <c r="D120" s="8">
        <v>71.789000000000001</v>
      </c>
      <c r="E120" s="8">
        <v>41.789099999999998</v>
      </c>
      <c r="F120" s="13"/>
      <c r="G120" s="13" t="s">
        <v>13</v>
      </c>
      <c r="H120" s="13"/>
      <c r="I120" s="6" t="s">
        <v>19</v>
      </c>
      <c r="J120" s="9">
        <f t="shared" si="1"/>
        <v>2999.9976999</v>
      </c>
      <c r="K120" s="15" t="s">
        <v>16</v>
      </c>
      <c r="L120" s="13"/>
      <c r="M120" s="13"/>
      <c r="N120" s="14"/>
    </row>
    <row r="121" spans="1:14" x14ac:dyDescent="0.35">
      <c r="A121" s="16" t="s">
        <v>11</v>
      </c>
      <c r="B121" s="6" t="s">
        <v>12</v>
      </c>
      <c r="C121" s="12">
        <v>43476</v>
      </c>
      <c r="D121" s="8">
        <v>51.115000000000002</v>
      </c>
      <c r="E121" s="8">
        <v>39.127800000000001</v>
      </c>
      <c r="F121" s="13"/>
      <c r="G121" s="13" t="s">
        <v>13</v>
      </c>
      <c r="H121" s="13" t="s">
        <v>14</v>
      </c>
      <c r="I121" s="6" t="s">
        <v>15</v>
      </c>
      <c r="J121" s="9">
        <f t="shared" si="1"/>
        <v>2000.017497</v>
      </c>
      <c r="K121" s="15" t="s">
        <v>16</v>
      </c>
      <c r="L121" s="13"/>
      <c r="M121" s="13"/>
      <c r="N121" s="14"/>
    </row>
    <row r="122" spans="1:14" x14ac:dyDescent="0.35">
      <c r="A122" s="16" t="s">
        <v>27</v>
      </c>
      <c r="B122" s="6" t="s">
        <v>28</v>
      </c>
      <c r="C122" s="12">
        <v>43482</v>
      </c>
      <c r="D122" s="8">
        <v>52.77</v>
      </c>
      <c r="E122" s="8">
        <v>94.75</v>
      </c>
      <c r="F122" s="13"/>
      <c r="G122" s="13" t="s">
        <v>13</v>
      </c>
      <c r="H122" s="13" t="s">
        <v>29</v>
      </c>
      <c r="I122" s="6" t="s">
        <v>30</v>
      </c>
      <c r="J122" s="9">
        <f t="shared" si="1"/>
        <v>4999.9575000000004</v>
      </c>
      <c r="K122" s="15" t="s">
        <v>16</v>
      </c>
      <c r="L122" s="13"/>
      <c r="M122" s="13"/>
      <c r="N122" s="14"/>
    </row>
    <row r="123" spans="1:14" x14ac:dyDescent="0.35">
      <c r="A123" s="16" t="s">
        <v>27</v>
      </c>
      <c r="B123" s="6" t="s">
        <v>28</v>
      </c>
      <c r="C123" s="12">
        <v>43487</v>
      </c>
      <c r="D123" s="8">
        <v>53.247999999999998</v>
      </c>
      <c r="E123" s="8">
        <v>93.9</v>
      </c>
      <c r="F123" s="13"/>
      <c r="G123" s="13" t="s">
        <v>13</v>
      </c>
      <c r="H123" s="13" t="s">
        <v>29</v>
      </c>
      <c r="I123" s="6" t="s">
        <v>30</v>
      </c>
      <c r="J123" s="9">
        <f t="shared" si="1"/>
        <v>4999.9872000000005</v>
      </c>
      <c r="K123" s="15" t="s">
        <v>16</v>
      </c>
      <c r="L123" s="13"/>
      <c r="M123" s="13"/>
      <c r="N123" s="14"/>
    </row>
    <row r="124" spans="1:14" x14ac:dyDescent="0.35">
      <c r="A124" s="16" t="s">
        <v>24</v>
      </c>
      <c r="B124" s="6" t="s">
        <v>25</v>
      </c>
      <c r="C124" s="12">
        <v>43487</v>
      </c>
      <c r="D124" s="8">
        <v>82.391999999999996</v>
      </c>
      <c r="E124" s="8">
        <v>24.274100000000001</v>
      </c>
      <c r="F124" s="13"/>
      <c r="G124" s="13" t="s">
        <v>13</v>
      </c>
      <c r="H124" s="13" t="s">
        <v>14</v>
      </c>
      <c r="I124" s="6" t="s">
        <v>26</v>
      </c>
      <c r="J124" s="9">
        <f t="shared" si="1"/>
        <v>1999.9916472</v>
      </c>
      <c r="K124" s="15" t="s">
        <v>16</v>
      </c>
      <c r="L124" s="13"/>
      <c r="M124" s="13"/>
      <c r="N124" s="14"/>
    </row>
    <row r="125" spans="1:14" x14ac:dyDescent="0.35">
      <c r="A125" s="16" t="s">
        <v>11</v>
      </c>
      <c r="B125" s="6" t="s">
        <v>12</v>
      </c>
      <c r="C125" s="12">
        <v>43487</v>
      </c>
      <c r="D125" s="8">
        <v>51.404000000000003</v>
      </c>
      <c r="E125" s="8">
        <v>38.907800000000002</v>
      </c>
      <c r="F125" s="13"/>
      <c r="G125" s="13" t="s">
        <v>13</v>
      </c>
      <c r="H125" s="13" t="s">
        <v>14</v>
      </c>
      <c r="I125" s="6" t="s">
        <v>15</v>
      </c>
      <c r="J125" s="9">
        <f t="shared" si="1"/>
        <v>2000.0165512000003</v>
      </c>
      <c r="K125" s="15" t="s">
        <v>16</v>
      </c>
      <c r="L125" s="13"/>
      <c r="M125" s="13"/>
      <c r="N125" s="14"/>
    </row>
    <row r="126" spans="1:14" x14ac:dyDescent="0.35">
      <c r="A126" s="16" t="s">
        <v>27</v>
      </c>
      <c r="B126" s="6" t="s">
        <v>28</v>
      </c>
      <c r="C126" s="12">
        <v>43488</v>
      </c>
      <c r="D126" s="8">
        <v>213.92699999999999</v>
      </c>
      <c r="E126" s="8">
        <v>93.49</v>
      </c>
      <c r="F126" s="13"/>
      <c r="G126" s="13" t="s">
        <v>13</v>
      </c>
      <c r="H126" s="13" t="s">
        <v>29</v>
      </c>
      <c r="I126" s="6" t="s">
        <v>30</v>
      </c>
      <c r="J126" s="9">
        <f t="shared" si="1"/>
        <v>20000.035229999998</v>
      </c>
      <c r="K126" s="15" t="s">
        <v>16</v>
      </c>
      <c r="L126" s="13"/>
      <c r="M126" s="13"/>
      <c r="N126" s="14"/>
    </row>
    <row r="127" spans="1:14" x14ac:dyDescent="0.35">
      <c r="A127" s="16" t="s">
        <v>24</v>
      </c>
      <c r="B127" s="6" t="s">
        <v>25</v>
      </c>
      <c r="C127" s="12">
        <v>43488</v>
      </c>
      <c r="D127" s="8">
        <v>124.236</v>
      </c>
      <c r="E127" s="8">
        <v>24.147500000000001</v>
      </c>
      <c r="F127" s="13"/>
      <c r="G127" s="13" t="s">
        <v>13</v>
      </c>
      <c r="H127" s="13" t="s">
        <v>14</v>
      </c>
      <c r="I127" s="6" t="s">
        <v>26</v>
      </c>
      <c r="J127" s="9">
        <f t="shared" si="1"/>
        <v>2999.9888100000003</v>
      </c>
      <c r="K127" s="15" t="s">
        <v>16</v>
      </c>
      <c r="L127" s="13"/>
      <c r="M127" s="13"/>
      <c r="N127" s="14"/>
    </row>
    <row r="128" spans="1:14" x14ac:dyDescent="0.35">
      <c r="A128" s="16" t="s">
        <v>11</v>
      </c>
      <c r="B128" s="6" t="s">
        <v>12</v>
      </c>
      <c r="C128" s="12">
        <v>43488</v>
      </c>
      <c r="D128" s="8">
        <v>155.77000000000001</v>
      </c>
      <c r="E128" s="8">
        <v>38.518300000000004</v>
      </c>
      <c r="F128" s="13"/>
      <c r="G128" s="13" t="s">
        <v>13</v>
      </c>
      <c r="H128" s="13" t="s">
        <v>14</v>
      </c>
      <c r="I128" s="6" t="s">
        <v>15</v>
      </c>
      <c r="J128" s="9">
        <f t="shared" si="1"/>
        <v>5999.9955910000008</v>
      </c>
      <c r="K128" s="15" t="s">
        <v>16</v>
      </c>
      <c r="L128" s="13"/>
      <c r="M128" s="13"/>
      <c r="N128" s="14"/>
    </row>
    <row r="129" spans="1:14" x14ac:dyDescent="0.35">
      <c r="A129" s="16" t="s">
        <v>27</v>
      </c>
      <c r="B129" s="6" t="s">
        <v>28</v>
      </c>
      <c r="C129" s="12">
        <v>43490</v>
      </c>
      <c r="D129" s="8">
        <v>215.54</v>
      </c>
      <c r="E129" s="8">
        <v>92.79</v>
      </c>
      <c r="F129" s="13"/>
      <c r="G129" s="13" t="s">
        <v>13</v>
      </c>
      <c r="H129" s="13" t="s">
        <v>29</v>
      </c>
      <c r="I129" s="6" t="s">
        <v>30</v>
      </c>
      <c r="J129" s="9">
        <f t="shared" si="1"/>
        <v>19999.956600000001</v>
      </c>
      <c r="K129" s="15" t="s">
        <v>16</v>
      </c>
      <c r="L129" s="13"/>
      <c r="M129" s="13"/>
      <c r="N129" s="14"/>
    </row>
    <row r="130" spans="1:14" x14ac:dyDescent="0.35">
      <c r="A130" s="16" t="s">
        <v>20</v>
      </c>
      <c r="B130" s="6" t="s">
        <v>21</v>
      </c>
      <c r="C130" s="12">
        <v>43490</v>
      </c>
      <c r="D130" s="8">
        <v>168.602</v>
      </c>
      <c r="E130" s="8">
        <v>29.6556</v>
      </c>
      <c r="F130" s="13"/>
      <c r="G130" s="13" t="s">
        <v>13</v>
      </c>
      <c r="H130" s="13" t="s">
        <v>22</v>
      </c>
      <c r="I130" s="6" t="s">
        <v>23</v>
      </c>
      <c r="J130" s="9">
        <f t="shared" ref="J130:J193" si="2">D130*E130</f>
        <v>4999.9934712000004</v>
      </c>
      <c r="K130" s="15" t="s">
        <v>16</v>
      </c>
      <c r="L130" s="13"/>
      <c r="M130" s="13"/>
      <c r="N130" s="14"/>
    </row>
    <row r="131" spans="1:14" x14ac:dyDescent="0.35">
      <c r="A131" s="16" t="s">
        <v>27</v>
      </c>
      <c r="B131" s="6" t="s">
        <v>28</v>
      </c>
      <c r="C131" s="12">
        <v>43493</v>
      </c>
      <c r="D131" s="8">
        <v>272.56900000000002</v>
      </c>
      <c r="E131" s="8">
        <v>91.72</v>
      </c>
      <c r="F131" s="13"/>
      <c r="G131" s="13" t="s">
        <v>13</v>
      </c>
      <c r="H131" s="13" t="s">
        <v>29</v>
      </c>
      <c r="I131" s="6" t="s">
        <v>30</v>
      </c>
      <c r="J131" s="9">
        <f t="shared" si="2"/>
        <v>25000.028679999999</v>
      </c>
      <c r="K131" s="15" t="s">
        <v>16</v>
      </c>
      <c r="L131" s="13"/>
      <c r="M131" s="13"/>
      <c r="N131" s="14"/>
    </row>
    <row r="132" spans="1:14" x14ac:dyDescent="0.35">
      <c r="A132" s="16" t="s">
        <v>27</v>
      </c>
      <c r="B132" s="6" t="s">
        <v>28</v>
      </c>
      <c r="C132" s="12">
        <v>43494</v>
      </c>
      <c r="D132" s="8">
        <v>1363.289</v>
      </c>
      <c r="E132" s="8">
        <v>91.69</v>
      </c>
      <c r="F132" s="13"/>
      <c r="G132" s="13" t="s">
        <v>13</v>
      </c>
      <c r="H132" s="13" t="s">
        <v>29</v>
      </c>
      <c r="I132" s="6" t="s">
        <v>30</v>
      </c>
      <c r="J132" s="9">
        <f t="shared" si="2"/>
        <v>124999.96841</v>
      </c>
      <c r="K132" s="15" t="s">
        <v>16</v>
      </c>
      <c r="L132" s="13"/>
      <c r="M132" s="13"/>
      <c r="N132" s="14"/>
    </row>
    <row r="133" spans="1:14" x14ac:dyDescent="0.35">
      <c r="A133" s="16" t="s">
        <v>24</v>
      </c>
      <c r="B133" s="6" t="s">
        <v>25</v>
      </c>
      <c r="C133" s="12">
        <v>43494</v>
      </c>
      <c r="D133" s="8">
        <v>83.2</v>
      </c>
      <c r="E133" s="8">
        <v>24.038399999999999</v>
      </c>
      <c r="F133" s="13"/>
      <c r="G133" s="13" t="s">
        <v>13</v>
      </c>
      <c r="H133" s="13" t="s">
        <v>14</v>
      </c>
      <c r="I133" s="6" t="s">
        <v>26</v>
      </c>
      <c r="J133" s="9">
        <f t="shared" si="2"/>
        <v>1999.99488</v>
      </c>
      <c r="K133" s="15" t="s">
        <v>16</v>
      </c>
      <c r="L133" s="13"/>
      <c r="M133" s="13"/>
      <c r="N133" s="14"/>
    </row>
    <row r="134" spans="1:14" x14ac:dyDescent="0.35">
      <c r="A134" s="16" t="s">
        <v>11</v>
      </c>
      <c r="B134" s="6" t="s">
        <v>12</v>
      </c>
      <c r="C134" s="12">
        <v>43494</v>
      </c>
      <c r="D134" s="8">
        <v>132.36099999999999</v>
      </c>
      <c r="E134" s="8">
        <v>37.775599999999997</v>
      </c>
      <c r="F134" s="13"/>
      <c r="G134" s="13" t="s">
        <v>13</v>
      </c>
      <c r="H134" s="13" t="s">
        <v>14</v>
      </c>
      <c r="I134" s="6" t="s">
        <v>15</v>
      </c>
      <c r="J134" s="17">
        <f t="shared" si="2"/>
        <v>5000.0161915999988</v>
      </c>
      <c r="K134" s="15" t="s">
        <v>16</v>
      </c>
      <c r="L134" s="13"/>
      <c r="M134" s="13"/>
      <c r="N134" s="14"/>
    </row>
    <row r="135" spans="1:14" x14ac:dyDescent="0.35">
      <c r="A135" s="16" t="s">
        <v>20</v>
      </c>
      <c r="B135" s="6" t="s">
        <v>21</v>
      </c>
      <c r="C135" s="12">
        <v>43494</v>
      </c>
      <c r="D135" s="8">
        <v>170.655</v>
      </c>
      <c r="E135" s="8">
        <v>29.2988</v>
      </c>
      <c r="F135" s="13"/>
      <c r="G135" s="13" t="s">
        <v>13</v>
      </c>
      <c r="H135" s="13" t="s">
        <v>22</v>
      </c>
      <c r="I135" s="6" t="s">
        <v>23</v>
      </c>
      <c r="J135" s="17">
        <f t="shared" si="2"/>
        <v>4999.9867139999997</v>
      </c>
      <c r="K135" s="15" t="s">
        <v>16</v>
      </c>
      <c r="L135" s="13"/>
      <c r="M135" s="13"/>
      <c r="N135" s="14"/>
    </row>
    <row r="136" spans="1:14" x14ac:dyDescent="0.35">
      <c r="A136" s="16" t="s">
        <v>27</v>
      </c>
      <c r="B136" s="6" t="s">
        <v>28</v>
      </c>
      <c r="C136" s="12">
        <v>43504</v>
      </c>
      <c r="D136" s="8">
        <v>53.35</v>
      </c>
      <c r="E136" s="8">
        <v>93.72</v>
      </c>
      <c r="F136" s="13"/>
      <c r="G136" s="13" t="s">
        <v>13</v>
      </c>
      <c r="H136" s="13" t="s">
        <v>29</v>
      </c>
      <c r="I136" s="6" t="s">
        <v>30</v>
      </c>
      <c r="J136" s="17">
        <f t="shared" si="2"/>
        <v>4999.9620000000004</v>
      </c>
      <c r="K136" s="15" t="s">
        <v>16</v>
      </c>
      <c r="L136" s="13"/>
      <c r="M136" s="13"/>
      <c r="N136" s="14"/>
    </row>
    <row r="137" spans="1:14" x14ac:dyDescent="0.35">
      <c r="A137" s="16" t="s">
        <v>24</v>
      </c>
      <c r="B137" s="6" t="s">
        <v>25</v>
      </c>
      <c r="C137" s="12">
        <v>43504</v>
      </c>
      <c r="D137" s="8">
        <v>40.450000000000003</v>
      </c>
      <c r="E137" s="8">
        <v>24.722100000000001</v>
      </c>
      <c r="F137" s="13"/>
      <c r="G137" s="13" t="s">
        <v>13</v>
      </c>
      <c r="H137" s="13" t="s">
        <v>14</v>
      </c>
      <c r="I137" s="6" t="s">
        <v>26</v>
      </c>
      <c r="J137" s="17">
        <f t="shared" si="2"/>
        <v>1000.0089450000002</v>
      </c>
      <c r="K137" s="15" t="s">
        <v>16</v>
      </c>
      <c r="L137" s="13"/>
      <c r="M137" s="13"/>
      <c r="N137" s="14"/>
    </row>
    <row r="138" spans="1:14" x14ac:dyDescent="0.35">
      <c r="A138" s="16" t="s">
        <v>11</v>
      </c>
      <c r="B138" s="6" t="s">
        <v>12</v>
      </c>
      <c r="C138" s="12">
        <v>43504</v>
      </c>
      <c r="D138" s="8">
        <v>25.88</v>
      </c>
      <c r="E138" s="8">
        <v>38.640500000000003</v>
      </c>
      <c r="F138" s="13"/>
      <c r="G138" s="13" t="s">
        <v>13</v>
      </c>
      <c r="H138" s="13" t="s">
        <v>14</v>
      </c>
      <c r="I138" s="6" t="s">
        <v>15</v>
      </c>
      <c r="J138" s="17">
        <f t="shared" si="2"/>
        <v>1000.0161400000001</v>
      </c>
      <c r="K138" s="15" t="s">
        <v>16</v>
      </c>
      <c r="L138" s="13"/>
      <c r="M138" s="13"/>
      <c r="N138" s="14"/>
    </row>
    <row r="139" spans="1:14" x14ac:dyDescent="0.35">
      <c r="A139" s="16" t="s">
        <v>20</v>
      </c>
      <c r="B139" s="6" t="s">
        <v>21</v>
      </c>
      <c r="C139" s="12">
        <v>43504</v>
      </c>
      <c r="D139" s="8">
        <v>167.28</v>
      </c>
      <c r="E139" s="8">
        <v>29.89</v>
      </c>
      <c r="F139" s="13"/>
      <c r="G139" s="13" t="s">
        <v>13</v>
      </c>
      <c r="H139" s="13" t="s">
        <v>22</v>
      </c>
      <c r="I139" s="6" t="s">
        <v>23</v>
      </c>
      <c r="J139" s="17">
        <f t="shared" si="2"/>
        <v>4999.9992000000002</v>
      </c>
      <c r="K139" s="15" t="s">
        <v>16</v>
      </c>
      <c r="L139" s="13"/>
      <c r="M139" s="13"/>
      <c r="N139" s="14"/>
    </row>
    <row r="140" spans="1:14" x14ac:dyDescent="0.35">
      <c r="A140" s="16" t="s">
        <v>27</v>
      </c>
      <c r="B140" s="6" t="s">
        <v>28</v>
      </c>
      <c r="C140" s="12">
        <v>43507</v>
      </c>
      <c r="D140" s="8">
        <v>53.862000000000002</v>
      </c>
      <c r="E140" s="8">
        <v>92.83</v>
      </c>
      <c r="F140" s="13"/>
      <c r="G140" s="13" t="s">
        <v>13</v>
      </c>
      <c r="H140" s="13" t="s">
        <v>29</v>
      </c>
      <c r="I140" s="6" t="s">
        <v>30</v>
      </c>
      <c r="J140" s="17">
        <f t="shared" si="2"/>
        <v>5000.0094600000002</v>
      </c>
      <c r="K140" s="15" t="s">
        <v>16</v>
      </c>
      <c r="L140" s="13"/>
      <c r="M140" s="13"/>
      <c r="N140" s="14"/>
    </row>
    <row r="141" spans="1:14" x14ac:dyDescent="0.35">
      <c r="A141" s="16" t="s">
        <v>17</v>
      </c>
      <c r="B141" s="6" t="s">
        <v>18</v>
      </c>
      <c r="C141" s="12">
        <v>43507</v>
      </c>
      <c r="D141" s="8">
        <v>76.787999999999997</v>
      </c>
      <c r="E141" s="8">
        <v>39.068800000000003</v>
      </c>
      <c r="F141" s="13"/>
      <c r="G141" s="13" t="s">
        <v>13</v>
      </c>
      <c r="H141" s="13"/>
      <c r="I141" s="6" t="s">
        <v>19</v>
      </c>
      <c r="J141" s="17">
        <f t="shared" si="2"/>
        <v>3000.0150143999999</v>
      </c>
      <c r="K141" s="15" t="s">
        <v>16</v>
      </c>
      <c r="L141" s="13"/>
      <c r="M141" s="13"/>
      <c r="N141" s="14"/>
    </row>
    <row r="142" spans="1:14" x14ac:dyDescent="0.35">
      <c r="A142" s="16" t="s">
        <v>24</v>
      </c>
      <c r="B142" s="6" t="s">
        <v>25</v>
      </c>
      <c r="C142" s="12">
        <v>43507</v>
      </c>
      <c r="D142" s="8">
        <v>40.478999999999999</v>
      </c>
      <c r="E142" s="8">
        <v>24.7042</v>
      </c>
      <c r="F142" s="13"/>
      <c r="G142" s="13" t="s">
        <v>13</v>
      </c>
      <c r="H142" s="13" t="s">
        <v>14</v>
      </c>
      <c r="I142" s="6" t="s">
        <v>26</v>
      </c>
      <c r="J142" s="17">
        <f t="shared" si="2"/>
        <v>1000.0013117999999</v>
      </c>
      <c r="K142" s="15" t="s">
        <v>16</v>
      </c>
      <c r="L142" s="13"/>
      <c r="M142" s="13"/>
      <c r="N142" s="14"/>
    </row>
    <row r="143" spans="1:14" x14ac:dyDescent="0.35">
      <c r="A143" s="16" t="s">
        <v>11</v>
      </c>
      <c r="B143" s="6" t="s">
        <v>12</v>
      </c>
      <c r="C143" s="12">
        <v>43507</v>
      </c>
      <c r="D143" s="8">
        <v>26.13</v>
      </c>
      <c r="E143" s="8">
        <v>38.270299999999999</v>
      </c>
      <c r="F143" s="13"/>
      <c r="G143" s="13" t="s">
        <v>13</v>
      </c>
      <c r="H143" s="13" t="s">
        <v>14</v>
      </c>
      <c r="I143" s="6" t="s">
        <v>15</v>
      </c>
      <c r="J143" s="17">
        <f t="shared" si="2"/>
        <v>1000.002939</v>
      </c>
      <c r="K143" s="15" t="s">
        <v>16</v>
      </c>
      <c r="L143" s="13"/>
      <c r="M143" s="13"/>
      <c r="N143" s="14"/>
    </row>
    <row r="144" spans="1:14" x14ac:dyDescent="0.35">
      <c r="A144" s="16" t="s">
        <v>27</v>
      </c>
      <c r="B144" s="6" t="s">
        <v>28</v>
      </c>
      <c r="C144" s="12">
        <v>43508</v>
      </c>
      <c r="D144" s="8">
        <v>432.52600000000001</v>
      </c>
      <c r="E144" s="8">
        <v>92.48</v>
      </c>
      <c r="F144" s="13"/>
      <c r="G144" s="13" t="s">
        <v>13</v>
      </c>
      <c r="H144" s="13" t="s">
        <v>29</v>
      </c>
      <c r="I144" s="6" t="s">
        <v>30</v>
      </c>
      <c r="J144" s="17">
        <f t="shared" si="2"/>
        <v>40000.004480000003</v>
      </c>
      <c r="K144" s="15" t="s">
        <v>16</v>
      </c>
      <c r="L144" s="13"/>
      <c r="M144" s="13"/>
      <c r="N144" s="14"/>
    </row>
    <row r="145" spans="1:14" x14ac:dyDescent="0.35">
      <c r="A145" s="16" t="s">
        <v>24</v>
      </c>
      <c r="B145" s="6" t="s">
        <v>25</v>
      </c>
      <c r="C145" s="12">
        <v>43508</v>
      </c>
      <c r="D145" s="8">
        <v>81.137</v>
      </c>
      <c r="E145" s="8">
        <v>24.649699999999999</v>
      </c>
      <c r="F145" s="13"/>
      <c r="G145" s="13" t="s">
        <v>13</v>
      </c>
      <c r="H145" s="13" t="s">
        <v>14</v>
      </c>
      <c r="I145" s="6" t="s">
        <v>26</v>
      </c>
      <c r="J145" s="17">
        <f t="shared" si="2"/>
        <v>2000.0027089</v>
      </c>
      <c r="K145" s="15" t="s">
        <v>16</v>
      </c>
      <c r="L145" s="13"/>
      <c r="M145" s="13"/>
      <c r="N145" s="14"/>
    </row>
    <row r="146" spans="1:14" x14ac:dyDescent="0.35">
      <c r="A146" s="16" t="s">
        <v>27</v>
      </c>
      <c r="B146" s="6" t="s">
        <v>28</v>
      </c>
      <c r="C146" s="12">
        <v>43510</v>
      </c>
      <c r="D146" s="8">
        <v>543.77379010331697</v>
      </c>
      <c r="E146" s="8">
        <v>91.95</v>
      </c>
      <c r="F146" s="13"/>
      <c r="G146" s="13" t="s">
        <v>13</v>
      </c>
      <c r="H146" s="13" t="s">
        <v>29</v>
      </c>
      <c r="I146" s="6" t="s">
        <v>30</v>
      </c>
      <c r="J146" s="17">
        <f t="shared" si="2"/>
        <v>50000</v>
      </c>
      <c r="K146" s="15" t="s">
        <v>16</v>
      </c>
      <c r="L146" s="13"/>
      <c r="M146" s="13"/>
      <c r="N146" s="14"/>
    </row>
    <row r="147" spans="1:14" x14ac:dyDescent="0.35">
      <c r="A147" s="16" t="s">
        <v>24</v>
      </c>
      <c r="B147" s="6" t="s">
        <v>25</v>
      </c>
      <c r="C147" s="12">
        <v>43510</v>
      </c>
      <c r="D147" s="8">
        <v>161.23099999999999</v>
      </c>
      <c r="E147" s="8">
        <v>24.809200000000001</v>
      </c>
      <c r="F147" s="13"/>
      <c r="G147" s="13" t="s">
        <v>13</v>
      </c>
      <c r="H147" s="13" t="s">
        <v>14</v>
      </c>
      <c r="I147" s="6" t="s">
        <v>26</v>
      </c>
      <c r="J147" s="17">
        <f t="shared" si="2"/>
        <v>4000.0121251999999</v>
      </c>
      <c r="K147" s="15" t="s">
        <v>16</v>
      </c>
      <c r="L147" s="13"/>
      <c r="M147" s="13"/>
      <c r="N147" s="14"/>
    </row>
    <row r="148" spans="1:14" x14ac:dyDescent="0.35">
      <c r="A148" s="16" t="s">
        <v>11</v>
      </c>
      <c r="B148" s="6" t="s">
        <v>12</v>
      </c>
      <c r="C148" s="12">
        <v>43510</v>
      </c>
      <c r="D148" s="8">
        <v>52.948999999999998</v>
      </c>
      <c r="E148" s="8">
        <v>37.772399999999998</v>
      </c>
      <c r="F148" s="13"/>
      <c r="G148" s="13" t="s">
        <v>13</v>
      </c>
      <c r="H148" s="13" t="s">
        <v>14</v>
      </c>
      <c r="I148" s="6" t="s">
        <v>15</v>
      </c>
      <c r="J148" s="17">
        <f t="shared" si="2"/>
        <v>2000.0108075999999</v>
      </c>
      <c r="K148" s="15" t="s">
        <v>16</v>
      </c>
      <c r="L148" s="13"/>
      <c r="M148" s="13"/>
      <c r="N148" s="14"/>
    </row>
    <row r="149" spans="1:14" x14ac:dyDescent="0.35">
      <c r="A149" s="16" t="s">
        <v>20</v>
      </c>
      <c r="B149" s="6" t="s">
        <v>21</v>
      </c>
      <c r="C149" s="12">
        <v>43510</v>
      </c>
      <c r="D149" s="8">
        <v>169.518</v>
      </c>
      <c r="E149" s="8">
        <v>29.4954</v>
      </c>
      <c r="F149" s="13"/>
      <c r="G149" s="13" t="s">
        <v>13</v>
      </c>
      <c r="H149" s="13" t="s">
        <v>22</v>
      </c>
      <c r="I149" s="6" t="s">
        <v>23</v>
      </c>
      <c r="J149" s="17">
        <f t="shared" si="2"/>
        <v>5000.0012171999997</v>
      </c>
      <c r="K149" s="15" t="s">
        <v>16</v>
      </c>
      <c r="L149" s="13"/>
      <c r="M149" s="13"/>
      <c r="N149" s="14"/>
    </row>
    <row r="150" spans="1:14" x14ac:dyDescent="0.35">
      <c r="A150" s="16" t="s">
        <v>27</v>
      </c>
      <c r="B150" s="6" t="s">
        <v>28</v>
      </c>
      <c r="C150" s="12">
        <v>43511</v>
      </c>
      <c r="D150" s="8">
        <v>109.087</v>
      </c>
      <c r="E150" s="8">
        <v>91.67</v>
      </c>
      <c r="F150" s="13"/>
      <c r="G150" s="13" t="s">
        <v>13</v>
      </c>
      <c r="H150" s="13" t="s">
        <v>29</v>
      </c>
      <c r="I150" s="6" t="s">
        <v>30</v>
      </c>
      <c r="J150" s="17">
        <f t="shared" si="2"/>
        <v>10000.005290000001</v>
      </c>
      <c r="K150" s="15" t="s">
        <v>16</v>
      </c>
      <c r="L150" s="13"/>
      <c r="M150" s="13"/>
      <c r="N150" s="14"/>
    </row>
    <row r="151" spans="1:14" x14ac:dyDescent="0.35">
      <c r="A151" s="16" t="s">
        <v>24</v>
      </c>
      <c r="B151" s="6" t="s">
        <v>25</v>
      </c>
      <c r="C151" s="12">
        <v>43511</v>
      </c>
      <c r="D151" s="8">
        <v>80.953999999999994</v>
      </c>
      <c r="E151" s="8">
        <v>24.705300000000001</v>
      </c>
      <c r="F151" s="13"/>
      <c r="G151" s="13" t="s">
        <v>13</v>
      </c>
      <c r="H151" s="13" t="s">
        <v>14</v>
      </c>
      <c r="I151" s="6" t="s">
        <v>26</v>
      </c>
      <c r="J151" s="17">
        <f t="shared" si="2"/>
        <v>1999.9928562</v>
      </c>
      <c r="K151" s="15" t="s">
        <v>16</v>
      </c>
      <c r="L151" s="13"/>
      <c r="M151" s="13"/>
      <c r="N151" s="14"/>
    </row>
    <row r="152" spans="1:14" x14ac:dyDescent="0.35">
      <c r="A152" s="16" t="s">
        <v>27</v>
      </c>
      <c r="B152" s="6" t="s">
        <v>28</v>
      </c>
      <c r="C152" s="12">
        <v>43515</v>
      </c>
      <c r="D152" s="8">
        <v>54.914999999999999</v>
      </c>
      <c r="E152" s="8">
        <v>91.05</v>
      </c>
      <c r="F152" s="13"/>
      <c r="G152" s="13" t="s">
        <v>13</v>
      </c>
      <c r="H152" s="13" t="s">
        <v>29</v>
      </c>
      <c r="I152" s="6" t="s">
        <v>30</v>
      </c>
      <c r="J152" s="17">
        <f t="shared" si="2"/>
        <v>5000.0107499999995</v>
      </c>
      <c r="K152" s="15" t="s">
        <v>16</v>
      </c>
      <c r="L152" s="13"/>
      <c r="M152" s="13"/>
      <c r="N152" s="14"/>
    </row>
    <row r="153" spans="1:14" x14ac:dyDescent="0.35">
      <c r="A153" s="16" t="s">
        <v>24</v>
      </c>
      <c r="B153" s="6" t="s">
        <v>25</v>
      </c>
      <c r="C153" s="12">
        <v>43515</v>
      </c>
      <c r="D153" s="8">
        <v>40.57</v>
      </c>
      <c r="E153" s="8">
        <v>24.648800000000001</v>
      </c>
      <c r="F153" s="13"/>
      <c r="G153" s="13" t="s">
        <v>13</v>
      </c>
      <c r="H153" s="13" t="s">
        <v>14</v>
      </c>
      <c r="I153" s="6" t="s">
        <v>26</v>
      </c>
      <c r="J153" s="17">
        <f t="shared" si="2"/>
        <v>1000.0018160000001</v>
      </c>
      <c r="K153" s="15" t="s">
        <v>16</v>
      </c>
      <c r="L153" s="13"/>
      <c r="M153" s="13"/>
      <c r="N153" s="14"/>
    </row>
    <row r="154" spans="1:14" x14ac:dyDescent="0.35">
      <c r="A154" s="16" t="s">
        <v>17</v>
      </c>
      <c r="B154" s="6" t="s">
        <v>18</v>
      </c>
      <c r="C154" s="12">
        <v>43535</v>
      </c>
      <c r="D154" s="8">
        <v>70.917000000000002</v>
      </c>
      <c r="E154" s="8">
        <v>42.302700000000002</v>
      </c>
      <c r="F154" s="13"/>
      <c r="G154" s="13" t="s">
        <v>13</v>
      </c>
      <c r="H154" s="13"/>
      <c r="I154" s="6" t="s">
        <v>19</v>
      </c>
      <c r="J154" s="17">
        <f t="shared" si="2"/>
        <v>2999.9805759000001</v>
      </c>
      <c r="K154" s="15" t="s">
        <v>16</v>
      </c>
      <c r="L154" s="13"/>
      <c r="M154" s="13"/>
      <c r="N154" s="14"/>
    </row>
    <row r="155" spans="1:14" x14ac:dyDescent="0.35">
      <c r="A155" s="16" t="s">
        <v>27</v>
      </c>
      <c r="B155" s="6" t="s">
        <v>28</v>
      </c>
      <c r="C155" s="12">
        <v>43546</v>
      </c>
      <c r="D155" s="8">
        <v>50.741</v>
      </c>
      <c r="E155" s="8">
        <v>98.54</v>
      </c>
      <c r="F155" s="13"/>
      <c r="G155" s="13" t="s">
        <v>13</v>
      </c>
      <c r="H155" s="13" t="s">
        <v>29</v>
      </c>
      <c r="I155" s="6" t="s">
        <v>30</v>
      </c>
      <c r="J155" s="17">
        <f t="shared" si="2"/>
        <v>5000.0181400000001</v>
      </c>
      <c r="K155" s="15" t="s">
        <v>16</v>
      </c>
      <c r="L155" s="13"/>
      <c r="M155" s="13"/>
      <c r="N155" s="14"/>
    </row>
    <row r="156" spans="1:14" x14ac:dyDescent="0.35">
      <c r="A156" s="16" t="s">
        <v>24</v>
      </c>
      <c r="B156" s="6" t="s">
        <v>25</v>
      </c>
      <c r="C156" s="12">
        <v>43546</v>
      </c>
      <c r="D156" s="8">
        <v>77.942999999999998</v>
      </c>
      <c r="E156" s="8">
        <v>25.659800000000001</v>
      </c>
      <c r="F156" s="13"/>
      <c r="G156" s="13" t="s">
        <v>13</v>
      </c>
      <c r="H156" s="13" t="s">
        <v>14</v>
      </c>
      <c r="I156" s="6" t="s">
        <v>26</v>
      </c>
      <c r="J156" s="17">
        <f t="shared" si="2"/>
        <v>2000.0017914</v>
      </c>
      <c r="K156" s="15" t="s">
        <v>16</v>
      </c>
      <c r="L156" s="13"/>
      <c r="M156" s="13"/>
      <c r="N156" s="14"/>
    </row>
    <row r="157" spans="1:14" x14ac:dyDescent="0.35">
      <c r="A157" s="16" t="s">
        <v>11</v>
      </c>
      <c r="B157" s="6" t="s">
        <v>12</v>
      </c>
      <c r="C157" s="12">
        <v>43546</v>
      </c>
      <c r="D157" s="8">
        <v>24.550999999999998</v>
      </c>
      <c r="E157" s="8">
        <v>40.730899999999998</v>
      </c>
      <c r="F157" s="13"/>
      <c r="G157" s="13" t="s">
        <v>13</v>
      </c>
      <c r="H157" s="13" t="s">
        <v>14</v>
      </c>
      <c r="I157" s="6" t="s">
        <v>15</v>
      </c>
      <c r="J157" s="17">
        <f t="shared" si="2"/>
        <v>999.98432589999993</v>
      </c>
      <c r="K157" s="15" t="s">
        <v>16</v>
      </c>
      <c r="L157" s="13"/>
      <c r="M157" s="13"/>
      <c r="N157" s="14"/>
    </row>
    <row r="158" spans="1:14" x14ac:dyDescent="0.35">
      <c r="A158" s="16" t="s">
        <v>27</v>
      </c>
      <c r="B158" s="6" t="s">
        <v>28</v>
      </c>
      <c r="C158" s="12">
        <v>43549</v>
      </c>
      <c r="D158" s="8">
        <v>102.249</v>
      </c>
      <c r="E158" s="8">
        <v>97.8</v>
      </c>
      <c r="F158" s="13"/>
      <c r="G158" s="13" t="s">
        <v>13</v>
      </c>
      <c r="H158" s="13" t="s">
        <v>29</v>
      </c>
      <c r="I158" s="6" t="s">
        <v>30</v>
      </c>
      <c r="J158" s="17">
        <f t="shared" si="2"/>
        <v>9999.9521999999997</v>
      </c>
      <c r="K158" s="15" t="s">
        <v>16</v>
      </c>
      <c r="L158" s="13"/>
      <c r="M158" s="13"/>
      <c r="N158" s="14"/>
    </row>
    <row r="159" spans="1:14" x14ac:dyDescent="0.35">
      <c r="A159" s="16" t="s">
        <v>24</v>
      </c>
      <c r="B159" s="6" t="s">
        <v>25</v>
      </c>
      <c r="C159" s="12">
        <v>43549</v>
      </c>
      <c r="D159" s="8">
        <v>78.611999999999995</v>
      </c>
      <c r="E159" s="8">
        <v>25.441500000000001</v>
      </c>
      <c r="F159" s="13"/>
      <c r="G159" s="13" t="s">
        <v>13</v>
      </c>
      <c r="H159" s="13" t="s">
        <v>14</v>
      </c>
      <c r="I159" s="6" t="s">
        <v>26</v>
      </c>
      <c r="J159" s="17">
        <f t="shared" si="2"/>
        <v>2000.007198</v>
      </c>
      <c r="K159" s="15" t="s">
        <v>16</v>
      </c>
      <c r="L159" s="13"/>
      <c r="M159" s="13"/>
      <c r="N159" s="14"/>
    </row>
    <row r="160" spans="1:14" x14ac:dyDescent="0.35">
      <c r="A160" s="16" t="s">
        <v>20</v>
      </c>
      <c r="B160" s="6" t="s">
        <v>21</v>
      </c>
      <c r="C160" s="12">
        <v>43549</v>
      </c>
      <c r="D160" s="8">
        <v>159.39400000000001</v>
      </c>
      <c r="E160" s="8">
        <v>31.3689</v>
      </c>
      <c r="F160" s="13"/>
      <c r="G160" s="13" t="s">
        <v>13</v>
      </c>
      <c r="H160" s="13" t="s">
        <v>22</v>
      </c>
      <c r="I160" s="6" t="s">
        <v>23</v>
      </c>
      <c r="J160" s="17">
        <f t="shared" si="2"/>
        <v>5000.0144466000002</v>
      </c>
      <c r="K160" s="15" t="s">
        <v>16</v>
      </c>
      <c r="L160" s="13"/>
      <c r="M160" s="13"/>
      <c r="N160" s="14"/>
    </row>
    <row r="161" spans="1:14" x14ac:dyDescent="0.35">
      <c r="A161" s="16" t="s">
        <v>27</v>
      </c>
      <c r="B161" s="6" t="s">
        <v>28</v>
      </c>
      <c r="C161" s="12">
        <v>43557</v>
      </c>
      <c r="D161" s="8">
        <v>98.863069999999993</v>
      </c>
      <c r="E161" s="8">
        <v>101.15</v>
      </c>
      <c r="F161" s="13"/>
      <c r="G161" s="13" t="s">
        <v>13</v>
      </c>
      <c r="H161" s="13" t="s">
        <v>29</v>
      </c>
      <c r="I161" s="6" t="s">
        <v>30</v>
      </c>
      <c r="J161" s="17">
        <f t="shared" si="2"/>
        <v>9999.9995304999993</v>
      </c>
      <c r="K161" s="15" t="s">
        <v>16</v>
      </c>
      <c r="L161" s="13"/>
      <c r="M161" s="13"/>
      <c r="N161" s="14"/>
    </row>
    <row r="162" spans="1:14" x14ac:dyDescent="0.35">
      <c r="A162" s="16" t="s">
        <v>24</v>
      </c>
      <c r="B162" s="6" t="s">
        <v>25</v>
      </c>
      <c r="C162" s="12">
        <v>43557</v>
      </c>
      <c r="D162" s="8">
        <v>116.167</v>
      </c>
      <c r="E162" s="8">
        <v>25.824999999999999</v>
      </c>
      <c r="F162" s="13"/>
      <c r="G162" s="13" t="s">
        <v>13</v>
      </c>
      <c r="H162" s="13" t="s">
        <v>14</v>
      </c>
      <c r="I162" s="6" t="s">
        <v>26</v>
      </c>
      <c r="J162" s="17">
        <f t="shared" si="2"/>
        <v>3000.0127750000001</v>
      </c>
      <c r="K162" s="15" t="s">
        <v>16</v>
      </c>
      <c r="L162" s="13"/>
      <c r="M162" s="13"/>
      <c r="N162" s="14"/>
    </row>
    <row r="163" spans="1:14" x14ac:dyDescent="0.35">
      <c r="A163" s="16" t="s">
        <v>11</v>
      </c>
      <c r="B163" s="6" t="s">
        <v>12</v>
      </c>
      <c r="C163" s="12">
        <v>43557</v>
      </c>
      <c r="D163" s="8">
        <v>120.15300000000001</v>
      </c>
      <c r="E163" s="8">
        <v>41.613599999999998</v>
      </c>
      <c r="F163" s="13"/>
      <c r="G163" s="13" t="s">
        <v>13</v>
      </c>
      <c r="H163" s="13" t="s">
        <v>14</v>
      </c>
      <c r="I163" s="6" t="s">
        <v>15</v>
      </c>
      <c r="J163" s="17">
        <f t="shared" si="2"/>
        <v>4999.9988807999998</v>
      </c>
      <c r="K163" s="15" t="s">
        <v>16</v>
      </c>
      <c r="L163" s="13"/>
      <c r="M163" s="13"/>
      <c r="N163" s="14"/>
    </row>
    <row r="164" spans="1:14" x14ac:dyDescent="0.35">
      <c r="A164" s="16" t="s">
        <v>20</v>
      </c>
      <c r="B164" s="6" t="s">
        <v>21</v>
      </c>
      <c r="C164" s="12">
        <v>43557</v>
      </c>
      <c r="D164" s="8">
        <v>155.226</v>
      </c>
      <c r="E164" s="8">
        <v>32.210999999999999</v>
      </c>
      <c r="F164" s="13"/>
      <c r="G164" s="13" t="s">
        <v>13</v>
      </c>
      <c r="H164" s="13" t="s">
        <v>22</v>
      </c>
      <c r="I164" s="6" t="s">
        <v>23</v>
      </c>
      <c r="J164" s="17">
        <f t="shared" si="2"/>
        <v>4999.9846859999998</v>
      </c>
      <c r="K164" s="15" t="s">
        <v>16</v>
      </c>
      <c r="L164" s="13"/>
      <c r="M164" s="13"/>
      <c r="N164" s="14"/>
    </row>
    <row r="165" spans="1:14" x14ac:dyDescent="0.35">
      <c r="A165" s="16" t="s">
        <v>27</v>
      </c>
      <c r="B165" s="6" t="s">
        <v>28</v>
      </c>
      <c r="C165" s="12">
        <v>43559</v>
      </c>
      <c r="D165" s="8">
        <v>9.9570000000000007</v>
      </c>
      <c r="E165" s="8">
        <v>100.43</v>
      </c>
      <c r="F165" s="13"/>
      <c r="G165" s="13" t="s">
        <v>13</v>
      </c>
      <c r="H165" s="13" t="s">
        <v>29</v>
      </c>
      <c r="I165" s="6" t="s">
        <v>30</v>
      </c>
      <c r="J165" s="17">
        <f t="shared" si="2"/>
        <v>999.98151000000018</v>
      </c>
      <c r="K165" s="15" t="s">
        <v>16</v>
      </c>
      <c r="L165" s="13"/>
      <c r="M165" s="13"/>
      <c r="N165" s="14"/>
    </row>
    <row r="166" spans="1:14" x14ac:dyDescent="0.35">
      <c r="A166" s="16" t="s">
        <v>24</v>
      </c>
      <c r="B166" s="6" t="s">
        <v>25</v>
      </c>
      <c r="C166" s="12">
        <v>43559</v>
      </c>
      <c r="D166" s="8">
        <v>193.92599999999999</v>
      </c>
      <c r="E166" s="8">
        <v>25.783000000000001</v>
      </c>
      <c r="F166" s="13"/>
      <c r="G166" s="13" t="s">
        <v>13</v>
      </c>
      <c r="H166" s="13" t="s">
        <v>14</v>
      </c>
      <c r="I166" s="6" t="s">
        <v>26</v>
      </c>
      <c r="J166" s="17">
        <f t="shared" si="2"/>
        <v>4999.9940580000002</v>
      </c>
      <c r="K166" s="15" t="s">
        <v>16</v>
      </c>
      <c r="L166" s="13"/>
      <c r="M166" s="13"/>
      <c r="N166" s="14"/>
    </row>
    <row r="167" spans="1:14" x14ac:dyDescent="0.35">
      <c r="A167" s="16" t="s">
        <v>20</v>
      </c>
      <c r="B167" s="6" t="s">
        <v>21</v>
      </c>
      <c r="C167" s="12">
        <v>43559</v>
      </c>
      <c r="D167" s="8">
        <v>156.506</v>
      </c>
      <c r="E167" s="8">
        <v>31.947700000000001</v>
      </c>
      <c r="F167" s="13"/>
      <c r="G167" s="13" t="s">
        <v>13</v>
      </c>
      <c r="H167" s="13" t="s">
        <v>22</v>
      </c>
      <c r="I167" s="6" t="s">
        <v>23</v>
      </c>
      <c r="J167" s="17">
        <f t="shared" si="2"/>
        <v>5000.0067362</v>
      </c>
      <c r="K167" s="15" t="s">
        <v>16</v>
      </c>
      <c r="L167" s="13"/>
      <c r="M167" s="13"/>
      <c r="N167" s="14"/>
    </row>
    <row r="168" spans="1:14" x14ac:dyDescent="0.35">
      <c r="A168" s="16" t="s">
        <v>27</v>
      </c>
      <c r="B168" s="6" t="s">
        <v>28</v>
      </c>
      <c r="C168" s="12">
        <v>43563</v>
      </c>
      <c r="D168" s="8">
        <v>290.40699999999998</v>
      </c>
      <c r="E168" s="8">
        <v>99.86</v>
      </c>
      <c r="F168" s="13"/>
      <c r="G168" s="13" t="s">
        <v>13</v>
      </c>
      <c r="H168" s="13" t="s">
        <v>29</v>
      </c>
      <c r="I168" s="6" t="s">
        <v>30</v>
      </c>
      <c r="J168" s="17">
        <f t="shared" si="2"/>
        <v>29000.043019999997</v>
      </c>
      <c r="K168" s="15" t="s">
        <v>16</v>
      </c>
      <c r="L168" s="13"/>
      <c r="M168" s="13"/>
      <c r="N168" s="14"/>
    </row>
    <row r="169" spans="1:14" x14ac:dyDescent="0.35">
      <c r="A169" s="16" t="s">
        <v>24</v>
      </c>
      <c r="B169" s="6" t="s">
        <v>25</v>
      </c>
      <c r="C169" s="12">
        <v>43563</v>
      </c>
      <c r="D169" s="8">
        <v>387.12599999999998</v>
      </c>
      <c r="E169" s="8">
        <v>25.831399999999999</v>
      </c>
      <c r="F169" s="13"/>
      <c r="G169" s="13" t="s">
        <v>13</v>
      </c>
      <c r="H169" s="13" t="s">
        <v>14</v>
      </c>
      <c r="I169" s="6" t="s">
        <v>26</v>
      </c>
      <c r="J169" s="17">
        <f t="shared" si="2"/>
        <v>10000.0065564</v>
      </c>
      <c r="K169" s="15" t="s">
        <v>16</v>
      </c>
      <c r="L169" s="13"/>
      <c r="M169" s="13"/>
      <c r="N169" s="14"/>
    </row>
    <row r="170" spans="1:14" x14ac:dyDescent="0.35">
      <c r="A170" s="16">
        <v>18917658</v>
      </c>
      <c r="B170" s="6" t="s">
        <v>12</v>
      </c>
      <c r="C170" s="12">
        <v>43564</v>
      </c>
      <c r="D170" s="8">
        <v>120.548</v>
      </c>
      <c r="E170" s="8">
        <v>41.4771</v>
      </c>
      <c r="F170" s="13"/>
      <c r="G170" s="13" t="s">
        <v>31</v>
      </c>
      <c r="H170" s="13" t="s">
        <v>14</v>
      </c>
      <c r="I170" s="6" t="s">
        <v>15</v>
      </c>
      <c r="J170" s="17">
        <f t="shared" si="2"/>
        <v>4999.9814507999999</v>
      </c>
      <c r="K170" s="15" t="s">
        <v>32</v>
      </c>
      <c r="L170" s="13"/>
      <c r="M170" s="13"/>
      <c r="N170" s="14"/>
    </row>
    <row r="171" spans="1:14" x14ac:dyDescent="0.35">
      <c r="A171" s="16" t="s">
        <v>27</v>
      </c>
      <c r="B171" s="6" t="s">
        <v>28</v>
      </c>
      <c r="C171" s="12">
        <v>43565</v>
      </c>
      <c r="D171" s="8">
        <v>300.75200000000001</v>
      </c>
      <c r="E171" s="8">
        <v>99.75</v>
      </c>
      <c r="F171" s="13"/>
      <c r="G171" s="13" t="s">
        <v>13</v>
      </c>
      <c r="H171" s="13" t="s">
        <v>29</v>
      </c>
      <c r="I171" s="6" t="s">
        <v>30</v>
      </c>
      <c r="J171" s="17">
        <f t="shared" si="2"/>
        <v>30000.012000000002</v>
      </c>
      <c r="K171" s="15" t="s">
        <v>16</v>
      </c>
      <c r="L171" s="13"/>
      <c r="M171" s="13"/>
      <c r="N171" s="14"/>
    </row>
    <row r="172" spans="1:14" x14ac:dyDescent="0.35">
      <c r="A172" s="16" t="s">
        <v>17</v>
      </c>
      <c r="B172" s="6" t="s">
        <v>18</v>
      </c>
      <c r="C172" s="12">
        <v>43565</v>
      </c>
      <c r="D172" s="8">
        <v>70.048000000000002</v>
      </c>
      <c r="E172" s="8">
        <v>42.8279</v>
      </c>
      <c r="F172" s="13"/>
      <c r="G172" s="13" t="s">
        <v>13</v>
      </c>
      <c r="H172" s="13"/>
      <c r="I172" s="6" t="s">
        <v>19</v>
      </c>
      <c r="J172" s="17">
        <f t="shared" si="2"/>
        <v>3000.0087392</v>
      </c>
      <c r="K172" s="15" t="s">
        <v>16</v>
      </c>
      <c r="L172" s="13"/>
      <c r="M172" s="13"/>
      <c r="N172" s="14"/>
    </row>
    <row r="173" spans="1:14" x14ac:dyDescent="0.35">
      <c r="A173" s="16" t="s">
        <v>24</v>
      </c>
      <c r="B173" s="6" t="s">
        <v>25</v>
      </c>
      <c r="C173" s="12">
        <v>43565</v>
      </c>
      <c r="D173" s="8">
        <v>387.83300000000003</v>
      </c>
      <c r="E173" s="8">
        <v>25.784300000000002</v>
      </c>
      <c r="F173" s="13"/>
      <c r="G173" s="13" t="s">
        <v>13</v>
      </c>
      <c r="H173" s="13" t="s">
        <v>14</v>
      </c>
      <c r="I173" s="6" t="s">
        <v>26</v>
      </c>
      <c r="J173" s="17">
        <f t="shared" si="2"/>
        <v>10000.002421900001</v>
      </c>
      <c r="K173" s="15" t="s">
        <v>16</v>
      </c>
      <c r="L173" s="13"/>
      <c r="M173" s="13"/>
      <c r="N173" s="14"/>
    </row>
    <row r="174" spans="1:14" x14ac:dyDescent="0.35">
      <c r="A174" s="16" t="s">
        <v>27</v>
      </c>
      <c r="B174" s="6" t="s">
        <v>28</v>
      </c>
      <c r="C174" s="12">
        <v>43566</v>
      </c>
      <c r="D174" s="8">
        <v>502.10899999999998</v>
      </c>
      <c r="E174" s="8">
        <v>99.58</v>
      </c>
      <c r="F174" s="13"/>
      <c r="G174" s="13" t="s">
        <v>13</v>
      </c>
      <c r="H174" s="13" t="s">
        <v>29</v>
      </c>
      <c r="I174" s="6" t="s">
        <v>30</v>
      </c>
      <c r="J174" s="17">
        <f t="shared" si="2"/>
        <v>50000.014219999997</v>
      </c>
      <c r="K174" s="15" t="s">
        <v>16</v>
      </c>
      <c r="L174" s="13"/>
      <c r="M174" s="13"/>
      <c r="N174" s="14"/>
    </row>
    <row r="175" spans="1:14" x14ac:dyDescent="0.35">
      <c r="A175" s="16" t="s">
        <v>24</v>
      </c>
      <c r="B175" s="6" t="s">
        <v>25</v>
      </c>
      <c r="C175" s="12">
        <v>43566</v>
      </c>
      <c r="D175" s="8">
        <v>387.84399999999999</v>
      </c>
      <c r="E175" s="8">
        <v>25.7837</v>
      </c>
      <c r="F175" s="13"/>
      <c r="G175" s="13" t="s">
        <v>13</v>
      </c>
      <c r="H175" s="13" t="s">
        <v>14</v>
      </c>
      <c r="I175" s="6" t="s">
        <v>26</v>
      </c>
      <c r="J175" s="17">
        <f t="shared" si="2"/>
        <v>10000.0533428</v>
      </c>
      <c r="K175" s="15" t="s">
        <v>16</v>
      </c>
      <c r="L175" s="13"/>
      <c r="M175" s="13"/>
      <c r="N175" s="14"/>
    </row>
    <row r="176" spans="1:14" x14ac:dyDescent="0.35">
      <c r="A176" s="16" t="s">
        <v>11</v>
      </c>
      <c r="B176" s="6" t="s">
        <v>12</v>
      </c>
      <c r="C176" s="12">
        <v>43566</v>
      </c>
      <c r="D176" s="8">
        <v>72.613</v>
      </c>
      <c r="E176" s="8">
        <v>41.315199999999997</v>
      </c>
      <c r="F176" s="13"/>
      <c r="G176" s="13" t="s">
        <v>13</v>
      </c>
      <c r="H176" s="13" t="s">
        <v>14</v>
      </c>
      <c r="I176" s="6" t="s">
        <v>15</v>
      </c>
      <c r="J176" s="17">
        <f t="shared" si="2"/>
        <v>3000.0206175999997</v>
      </c>
      <c r="K176" s="15" t="s">
        <v>16</v>
      </c>
      <c r="L176" s="13"/>
      <c r="M176" s="13"/>
      <c r="N176" s="14"/>
    </row>
    <row r="177" spans="1:14" x14ac:dyDescent="0.35">
      <c r="A177" s="16" t="s">
        <v>27</v>
      </c>
      <c r="B177" s="6" t="s">
        <v>28</v>
      </c>
      <c r="C177" s="12">
        <v>43573</v>
      </c>
      <c r="D177" s="8">
        <v>495.54</v>
      </c>
      <c r="E177" s="8">
        <v>100.9</v>
      </c>
      <c r="F177" s="13"/>
      <c r="G177" s="13" t="s">
        <v>13</v>
      </c>
      <c r="H177" s="13" t="s">
        <v>29</v>
      </c>
      <c r="I177" s="6" t="s">
        <v>30</v>
      </c>
      <c r="J177" s="17">
        <f t="shared" si="2"/>
        <v>49999.986000000004</v>
      </c>
      <c r="K177" s="15" t="s">
        <v>16</v>
      </c>
      <c r="L177" s="13"/>
      <c r="M177" s="13"/>
      <c r="N177" s="14"/>
    </row>
    <row r="178" spans="1:14" x14ac:dyDescent="0.35">
      <c r="A178" s="16" t="s">
        <v>24</v>
      </c>
      <c r="B178" s="6" t="s">
        <v>25</v>
      </c>
      <c r="C178" s="12">
        <v>43573</v>
      </c>
      <c r="D178" s="8">
        <v>382.51400000000001</v>
      </c>
      <c r="E178" s="8">
        <v>26.142800000000001</v>
      </c>
      <c r="F178" s="13"/>
      <c r="G178" s="13" t="s">
        <v>13</v>
      </c>
      <c r="H178" s="13" t="s">
        <v>14</v>
      </c>
      <c r="I178" s="6" t="s">
        <v>26</v>
      </c>
      <c r="J178" s="17">
        <f t="shared" si="2"/>
        <v>9999.9869992000004</v>
      </c>
      <c r="K178" s="15" t="s">
        <v>16</v>
      </c>
      <c r="L178" s="13"/>
      <c r="M178" s="13"/>
      <c r="N178" s="14"/>
    </row>
    <row r="179" spans="1:14" x14ac:dyDescent="0.35">
      <c r="A179" s="16" t="s">
        <v>11</v>
      </c>
      <c r="B179" s="6" t="s">
        <v>12</v>
      </c>
      <c r="C179" s="12">
        <v>43573</v>
      </c>
      <c r="D179" s="8">
        <v>47.835000000000001</v>
      </c>
      <c r="E179" s="8">
        <v>41.810099999999998</v>
      </c>
      <c r="F179" s="13"/>
      <c r="G179" s="13" t="s">
        <v>13</v>
      </c>
      <c r="H179" s="13" t="s">
        <v>14</v>
      </c>
      <c r="I179" s="6" t="s">
        <v>15</v>
      </c>
      <c r="J179" s="17">
        <f t="shared" si="2"/>
        <v>1999.9861335000001</v>
      </c>
      <c r="K179" s="15" t="s">
        <v>16</v>
      </c>
      <c r="L179" s="13"/>
      <c r="M179" s="13"/>
      <c r="N179" s="14"/>
    </row>
    <row r="180" spans="1:14" x14ac:dyDescent="0.35">
      <c r="A180" s="16">
        <v>18917658</v>
      </c>
      <c r="B180" s="6" t="s">
        <v>12</v>
      </c>
      <c r="C180" s="12">
        <v>43573</v>
      </c>
      <c r="D180" s="8">
        <v>71.753</v>
      </c>
      <c r="E180" s="8">
        <v>41.810099999999998</v>
      </c>
      <c r="F180" s="13"/>
      <c r="G180" s="13" t="s">
        <v>31</v>
      </c>
      <c r="H180" s="13" t="s">
        <v>14</v>
      </c>
      <c r="I180" s="6" t="s">
        <v>15</v>
      </c>
      <c r="J180" s="17">
        <f t="shared" si="2"/>
        <v>3000.0001053000001</v>
      </c>
      <c r="K180" s="15" t="s">
        <v>32</v>
      </c>
      <c r="L180" s="13"/>
      <c r="M180" s="13"/>
      <c r="N180" s="14"/>
    </row>
    <row r="181" spans="1:14" x14ac:dyDescent="0.35">
      <c r="A181" s="16" t="s">
        <v>27</v>
      </c>
      <c r="B181" s="6" t="s">
        <v>28</v>
      </c>
      <c r="C181" s="12">
        <v>43585</v>
      </c>
      <c r="D181" s="8">
        <v>49.731000000000002</v>
      </c>
      <c r="E181" s="8">
        <v>100.54</v>
      </c>
      <c r="F181" s="13"/>
      <c r="G181" s="13" t="s">
        <v>13</v>
      </c>
      <c r="H181" s="13" t="s">
        <v>29</v>
      </c>
      <c r="I181" s="6" t="s">
        <v>30</v>
      </c>
      <c r="J181" s="17">
        <f t="shared" si="2"/>
        <v>4999.9547400000001</v>
      </c>
      <c r="K181" s="15" t="s">
        <v>16</v>
      </c>
      <c r="L181" s="13"/>
      <c r="M181" s="13"/>
      <c r="N181" s="14"/>
    </row>
    <row r="182" spans="1:14" x14ac:dyDescent="0.35">
      <c r="A182" s="16" t="s">
        <v>24</v>
      </c>
      <c r="B182" s="6" t="s">
        <v>25</v>
      </c>
      <c r="C182" s="12">
        <v>43585</v>
      </c>
      <c r="D182" s="8">
        <v>191.572</v>
      </c>
      <c r="E182" s="8">
        <v>26.099900000000002</v>
      </c>
      <c r="F182" s="13"/>
      <c r="G182" s="13" t="s">
        <v>13</v>
      </c>
      <c r="H182" s="13" t="s">
        <v>14</v>
      </c>
      <c r="I182" s="6" t="s">
        <v>26</v>
      </c>
      <c r="J182" s="17">
        <f t="shared" si="2"/>
        <v>5000.0100428000005</v>
      </c>
      <c r="K182" s="15" t="s">
        <v>16</v>
      </c>
      <c r="L182" s="13"/>
      <c r="M182" s="13"/>
      <c r="N182" s="14"/>
    </row>
    <row r="183" spans="1:14" x14ac:dyDescent="0.35">
      <c r="A183" s="16" t="s">
        <v>27</v>
      </c>
      <c r="B183" s="6" t="s">
        <v>28</v>
      </c>
      <c r="C183" s="12">
        <v>43588</v>
      </c>
      <c r="D183" s="8">
        <v>50.055</v>
      </c>
      <c r="E183" s="8">
        <v>99.89</v>
      </c>
      <c r="F183" s="13"/>
      <c r="G183" s="13" t="s">
        <v>13</v>
      </c>
      <c r="H183" s="13" t="s">
        <v>29</v>
      </c>
      <c r="I183" s="6" t="s">
        <v>30</v>
      </c>
      <c r="J183" s="17">
        <f t="shared" si="2"/>
        <v>4999.99395</v>
      </c>
      <c r="K183" s="15" t="s">
        <v>16</v>
      </c>
      <c r="L183" s="13"/>
      <c r="M183" s="13"/>
      <c r="N183" s="14"/>
    </row>
    <row r="184" spans="1:14" x14ac:dyDescent="0.35">
      <c r="A184" s="16" t="s">
        <v>24</v>
      </c>
      <c r="B184" s="6" t="s">
        <v>25</v>
      </c>
      <c r="C184" s="12">
        <v>43588</v>
      </c>
      <c r="D184" s="8">
        <v>193.33799999999999</v>
      </c>
      <c r="E184" s="8">
        <v>25.861499999999999</v>
      </c>
      <c r="F184" s="13"/>
      <c r="G184" s="13" t="s">
        <v>13</v>
      </c>
      <c r="H184" s="13" t="s">
        <v>14</v>
      </c>
      <c r="I184" s="6" t="s">
        <v>26</v>
      </c>
      <c r="J184" s="17">
        <f t="shared" si="2"/>
        <v>5000.010687</v>
      </c>
      <c r="K184" s="15" t="s">
        <v>16</v>
      </c>
      <c r="L184" s="13"/>
      <c r="M184" s="13"/>
      <c r="N184" s="14"/>
    </row>
    <row r="185" spans="1:14" x14ac:dyDescent="0.35">
      <c r="A185" s="16" t="s">
        <v>11</v>
      </c>
      <c r="B185" s="6" t="s">
        <v>12</v>
      </c>
      <c r="C185" s="12">
        <v>43588</v>
      </c>
      <c r="D185" s="8">
        <v>24.013000000000002</v>
      </c>
      <c r="E185" s="8">
        <v>41.644799999999996</v>
      </c>
      <c r="F185" s="13"/>
      <c r="G185" s="13" t="s">
        <v>13</v>
      </c>
      <c r="H185" s="13" t="s">
        <v>14</v>
      </c>
      <c r="I185" s="13" t="s">
        <v>15</v>
      </c>
      <c r="J185" s="17">
        <f t="shared" si="2"/>
        <v>1000.0165823999999</v>
      </c>
      <c r="K185" s="15" t="s">
        <v>16</v>
      </c>
      <c r="L185" s="13"/>
      <c r="M185" s="13"/>
      <c r="N185" s="14"/>
    </row>
    <row r="186" spans="1:14" x14ac:dyDescent="0.35">
      <c r="A186" s="16">
        <v>18917658</v>
      </c>
      <c r="B186" s="6" t="s">
        <v>12</v>
      </c>
      <c r="C186" s="12">
        <v>43588</v>
      </c>
      <c r="D186" s="8">
        <v>24.013000000000002</v>
      </c>
      <c r="E186" s="8">
        <v>41.644799999999996</v>
      </c>
      <c r="F186" s="13"/>
      <c r="G186" s="13" t="s">
        <v>31</v>
      </c>
      <c r="H186" s="13" t="s">
        <v>14</v>
      </c>
      <c r="I186" s="13" t="s">
        <v>15</v>
      </c>
      <c r="J186" s="17">
        <f t="shared" si="2"/>
        <v>1000.0165823999999</v>
      </c>
      <c r="K186" s="15" t="s">
        <v>32</v>
      </c>
      <c r="L186" s="13"/>
      <c r="M186" s="13"/>
      <c r="N186" s="14"/>
    </row>
    <row r="187" spans="1:14" x14ac:dyDescent="0.35">
      <c r="A187" s="16" t="s">
        <v>27</v>
      </c>
      <c r="B187" s="6" t="s">
        <v>28</v>
      </c>
      <c r="C187" s="12">
        <v>43591</v>
      </c>
      <c r="D187" s="8">
        <v>151.16399999999999</v>
      </c>
      <c r="E187" s="8">
        <v>99.23</v>
      </c>
      <c r="F187" s="13"/>
      <c r="G187" s="13" t="s">
        <v>13</v>
      </c>
      <c r="H187" s="13" t="s">
        <v>29</v>
      </c>
      <c r="I187" s="13" t="s">
        <v>30</v>
      </c>
      <c r="J187" s="17">
        <f t="shared" si="2"/>
        <v>15000.003719999999</v>
      </c>
      <c r="K187" s="15" t="s">
        <v>16</v>
      </c>
      <c r="L187" s="13"/>
      <c r="M187" s="13"/>
      <c r="N187" s="14"/>
    </row>
    <row r="188" spans="1:14" x14ac:dyDescent="0.35">
      <c r="A188" s="16" t="s">
        <v>24</v>
      </c>
      <c r="B188" s="6" t="s">
        <v>25</v>
      </c>
      <c r="C188" s="12">
        <v>43591</v>
      </c>
      <c r="D188" s="8">
        <v>193.48</v>
      </c>
      <c r="E188" s="8">
        <v>25.842400000000001</v>
      </c>
      <c r="F188" s="13"/>
      <c r="G188" s="13" t="s">
        <v>13</v>
      </c>
      <c r="H188" s="13" t="s">
        <v>14</v>
      </c>
      <c r="I188" s="13" t="s">
        <v>26</v>
      </c>
      <c r="J188" s="17">
        <f t="shared" si="2"/>
        <v>4999.9875519999996</v>
      </c>
      <c r="K188" s="15" t="s">
        <v>16</v>
      </c>
      <c r="L188" s="13"/>
      <c r="M188" s="13"/>
      <c r="N188" s="14"/>
    </row>
    <row r="189" spans="1:14" x14ac:dyDescent="0.35">
      <c r="A189" s="16" t="s">
        <v>11</v>
      </c>
      <c r="B189" s="6" t="s">
        <v>12</v>
      </c>
      <c r="C189" s="12">
        <v>43591</v>
      </c>
      <c r="D189" s="8">
        <v>48.453000000000003</v>
      </c>
      <c r="E189" s="8">
        <v>41.277299999999997</v>
      </c>
      <c r="F189" s="13"/>
      <c r="G189" s="13" t="s">
        <v>13</v>
      </c>
      <c r="H189" s="13" t="s">
        <v>14</v>
      </c>
      <c r="I189" s="13" t="s">
        <v>15</v>
      </c>
      <c r="J189" s="17">
        <f t="shared" si="2"/>
        <v>2000.0090169</v>
      </c>
      <c r="K189" s="15" t="s">
        <v>16</v>
      </c>
      <c r="L189" s="13"/>
      <c r="M189" s="13"/>
      <c r="N189" s="14"/>
    </row>
    <row r="190" spans="1:14" x14ac:dyDescent="0.35">
      <c r="A190" s="16" t="s">
        <v>20</v>
      </c>
      <c r="B190" s="6" t="s">
        <v>21</v>
      </c>
      <c r="C190" s="12">
        <v>43591</v>
      </c>
      <c r="D190" s="8">
        <v>157.904</v>
      </c>
      <c r="E190" s="8">
        <v>31.6648</v>
      </c>
      <c r="F190" s="13"/>
      <c r="G190" s="13" t="s">
        <v>13</v>
      </c>
      <c r="H190" s="13" t="s">
        <v>22</v>
      </c>
      <c r="I190" s="13" t="s">
        <v>23</v>
      </c>
      <c r="J190" s="17">
        <f t="shared" si="2"/>
        <v>4999.9985791999998</v>
      </c>
      <c r="K190" s="15" t="s">
        <v>16</v>
      </c>
      <c r="L190" s="13"/>
      <c r="M190" s="13"/>
      <c r="N190" s="14"/>
    </row>
    <row r="191" spans="1:14" x14ac:dyDescent="0.35">
      <c r="A191" s="16" t="s">
        <v>27</v>
      </c>
      <c r="B191" s="6" t="s">
        <v>28</v>
      </c>
      <c r="C191" s="12">
        <v>43592</v>
      </c>
      <c r="D191" s="8">
        <v>152.45500000000001</v>
      </c>
      <c r="E191" s="8">
        <v>98.39</v>
      </c>
      <c r="F191" s="13"/>
      <c r="G191" s="13" t="s">
        <v>13</v>
      </c>
      <c r="H191" s="13" t="s">
        <v>29</v>
      </c>
      <c r="I191" s="13" t="s">
        <v>30</v>
      </c>
      <c r="J191" s="17">
        <f t="shared" si="2"/>
        <v>15000.047450000002</v>
      </c>
      <c r="K191" s="15" t="s">
        <v>16</v>
      </c>
      <c r="L191" s="13"/>
      <c r="M191" s="13"/>
      <c r="N191" s="14"/>
    </row>
    <row r="192" spans="1:14" x14ac:dyDescent="0.35">
      <c r="A192" s="16" t="s">
        <v>24</v>
      </c>
      <c r="B192" s="6" t="s">
        <v>25</v>
      </c>
      <c r="C192" s="12">
        <v>43592</v>
      </c>
      <c r="D192" s="8">
        <v>194.09899999999999</v>
      </c>
      <c r="E192" s="8">
        <v>25.76</v>
      </c>
      <c r="F192" s="13"/>
      <c r="G192" s="13" t="s">
        <v>13</v>
      </c>
      <c r="H192" s="13" t="s">
        <v>14</v>
      </c>
      <c r="I192" s="13" t="s">
        <v>26</v>
      </c>
      <c r="J192" s="17">
        <f t="shared" si="2"/>
        <v>4999.9902400000001</v>
      </c>
      <c r="K192" s="15" t="s">
        <v>16</v>
      </c>
      <c r="L192" s="13"/>
      <c r="M192" s="13"/>
      <c r="N192" s="14"/>
    </row>
    <row r="193" spans="1:14" x14ac:dyDescent="0.35">
      <c r="A193" s="16">
        <v>18917658</v>
      </c>
      <c r="B193" s="6" t="s">
        <v>12</v>
      </c>
      <c r="C193" s="12">
        <v>43592</v>
      </c>
      <c r="D193" s="8">
        <v>48.747999999999998</v>
      </c>
      <c r="E193" s="8">
        <v>41.027500000000003</v>
      </c>
      <c r="F193" s="13"/>
      <c r="G193" s="13" t="s">
        <v>31</v>
      </c>
      <c r="H193" s="13" t="s">
        <v>14</v>
      </c>
      <c r="I193" s="13" t="s">
        <v>15</v>
      </c>
      <c r="J193" s="17">
        <f t="shared" si="2"/>
        <v>2000.00857</v>
      </c>
      <c r="K193" s="15" t="s">
        <v>32</v>
      </c>
      <c r="L193" s="13"/>
      <c r="M193" s="13"/>
      <c r="N193" s="14"/>
    </row>
    <row r="194" spans="1:14" x14ac:dyDescent="0.35">
      <c r="A194" s="16" t="s">
        <v>27</v>
      </c>
      <c r="B194" s="6" t="s">
        <v>28</v>
      </c>
      <c r="C194" s="12">
        <v>43593</v>
      </c>
      <c r="D194" s="8">
        <v>359.67500000000001</v>
      </c>
      <c r="E194" s="8">
        <v>97.31</v>
      </c>
      <c r="F194" s="13"/>
      <c r="G194" s="13" t="s">
        <v>13</v>
      </c>
      <c r="H194" s="13" t="s">
        <v>29</v>
      </c>
      <c r="I194" s="13" t="s">
        <v>30</v>
      </c>
      <c r="J194" s="17">
        <f t="shared" ref="J194:J257" si="3">D194*E194</f>
        <v>34999.974249999999</v>
      </c>
      <c r="K194" s="15" t="s">
        <v>16</v>
      </c>
      <c r="L194" s="13"/>
      <c r="M194" s="13"/>
      <c r="N194" s="14"/>
    </row>
    <row r="195" spans="1:14" x14ac:dyDescent="0.35">
      <c r="A195" s="16" t="s">
        <v>24</v>
      </c>
      <c r="B195" s="6" t="s">
        <v>25</v>
      </c>
      <c r="C195" s="12">
        <v>43593</v>
      </c>
      <c r="D195" s="8">
        <v>392.15100000000001</v>
      </c>
      <c r="E195" s="8">
        <v>25.500399999999999</v>
      </c>
      <c r="F195" s="13"/>
      <c r="G195" s="13" t="s">
        <v>13</v>
      </c>
      <c r="H195" s="13" t="s">
        <v>14</v>
      </c>
      <c r="I195" s="13" t="s">
        <v>26</v>
      </c>
      <c r="J195" s="17">
        <f t="shared" si="3"/>
        <v>10000.007360399999</v>
      </c>
      <c r="K195" s="15" t="s">
        <v>16</v>
      </c>
      <c r="L195" s="13"/>
      <c r="M195" s="13"/>
      <c r="N195" s="14"/>
    </row>
    <row r="196" spans="1:14" x14ac:dyDescent="0.35">
      <c r="A196" s="16" t="s">
        <v>27</v>
      </c>
      <c r="B196" s="6" t="s">
        <v>28</v>
      </c>
      <c r="C196" s="12">
        <v>43594</v>
      </c>
      <c r="D196" s="8">
        <v>154.43199999999999</v>
      </c>
      <c r="E196" s="8">
        <v>97.13</v>
      </c>
      <c r="F196" s="13"/>
      <c r="G196" s="13" t="s">
        <v>13</v>
      </c>
      <c r="H196" s="13" t="s">
        <v>29</v>
      </c>
      <c r="I196" s="13" t="s">
        <v>30</v>
      </c>
      <c r="J196" s="17">
        <f t="shared" si="3"/>
        <v>14999.980159999997</v>
      </c>
      <c r="K196" s="15" t="s">
        <v>16</v>
      </c>
      <c r="L196" s="13"/>
      <c r="M196" s="13"/>
      <c r="N196" s="14"/>
    </row>
    <row r="197" spans="1:14" x14ac:dyDescent="0.35">
      <c r="A197" s="16" t="s">
        <v>24</v>
      </c>
      <c r="B197" s="6" t="s">
        <v>25</v>
      </c>
      <c r="C197" s="12">
        <v>43594</v>
      </c>
      <c r="D197" s="8">
        <v>196.166</v>
      </c>
      <c r="E197" s="8">
        <v>25.488600000000002</v>
      </c>
      <c r="F197" s="13"/>
      <c r="G197" s="13" t="s">
        <v>13</v>
      </c>
      <c r="H197" s="13" t="s">
        <v>14</v>
      </c>
      <c r="I197" s="13" t="s">
        <v>26</v>
      </c>
      <c r="J197" s="17">
        <f t="shared" si="3"/>
        <v>4999.9967076000003</v>
      </c>
      <c r="K197" s="15" t="s">
        <v>16</v>
      </c>
      <c r="L197" s="13"/>
      <c r="M197" s="13"/>
      <c r="N197" s="14"/>
    </row>
    <row r="198" spans="1:14" x14ac:dyDescent="0.35">
      <c r="A198" s="16" t="s">
        <v>17</v>
      </c>
      <c r="B198" s="6" t="s">
        <v>18</v>
      </c>
      <c r="C198" s="12">
        <v>43595</v>
      </c>
      <c r="D198" s="8">
        <v>72.957999999999998</v>
      </c>
      <c r="E198" s="8">
        <v>41.119500000000002</v>
      </c>
      <c r="F198" s="13"/>
      <c r="G198" s="13" t="s">
        <v>13</v>
      </c>
      <c r="H198" s="13"/>
      <c r="I198" s="13" t="s">
        <v>19</v>
      </c>
      <c r="J198" s="17">
        <f t="shared" si="3"/>
        <v>2999.9964810000001</v>
      </c>
      <c r="K198" s="15" t="s">
        <v>16</v>
      </c>
      <c r="L198" s="13"/>
      <c r="M198" s="13"/>
      <c r="N198" s="14"/>
    </row>
    <row r="199" spans="1:14" x14ac:dyDescent="0.35">
      <c r="A199" s="16" t="s">
        <v>27</v>
      </c>
      <c r="B199" s="6" t="s">
        <v>28</v>
      </c>
      <c r="C199" s="12">
        <v>43598</v>
      </c>
      <c r="D199" s="8">
        <v>416.75299999999999</v>
      </c>
      <c r="E199" s="8">
        <v>95.98</v>
      </c>
      <c r="F199" s="13"/>
      <c r="G199" s="13" t="s">
        <v>13</v>
      </c>
      <c r="H199" s="13" t="s">
        <v>29</v>
      </c>
      <c r="I199" s="13" t="s">
        <v>30</v>
      </c>
      <c r="J199" s="17">
        <f t="shared" si="3"/>
        <v>39999.952940000003</v>
      </c>
      <c r="K199" s="15" t="s">
        <v>16</v>
      </c>
      <c r="L199" s="13"/>
      <c r="M199" s="13"/>
      <c r="N199" s="14"/>
    </row>
    <row r="200" spans="1:14" x14ac:dyDescent="0.35">
      <c r="A200" s="16" t="s">
        <v>24</v>
      </c>
      <c r="B200" s="6" t="s">
        <v>25</v>
      </c>
      <c r="C200" s="12">
        <v>43598</v>
      </c>
      <c r="D200" s="8">
        <v>197.553</v>
      </c>
      <c r="E200" s="8">
        <v>25.309699999999999</v>
      </c>
      <c r="F200" s="13"/>
      <c r="G200" s="13" t="s">
        <v>13</v>
      </c>
      <c r="H200" s="13" t="s">
        <v>14</v>
      </c>
      <c r="I200" s="13" t="s">
        <v>26</v>
      </c>
      <c r="J200" s="17">
        <f t="shared" si="3"/>
        <v>5000.0071640999995</v>
      </c>
      <c r="K200" s="15" t="s">
        <v>16</v>
      </c>
      <c r="L200" s="13"/>
      <c r="M200" s="13"/>
      <c r="N200" s="14"/>
    </row>
    <row r="201" spans="1:14" x14ac:dyDescent="0.35">
      <c r="A201" s="16" t="s">
        <v>27</v>
      </c>
      <c r="B201" s="6" t="s">
        <v>28</v>
      </c>
      <c r="C201" s="12">
        <v>43599</v>
      </c>
      <c r="D201" s="8">
        <v>414.76600000000002</v>
      </c>
      <c r="E201" s="8">
        <v>96.44</v>
      </c>
      <c r="F201" s="13"/>
      <c r="G201" s="13" t="s">
        <v>13</v>
      </c>
      <c r="H201" s="13" t="s">
        <v>29</v>
      </c>
      <c r="I201" s="13" t="s">
        <v>30</v>
      </c>
      <c r="J201" s="17">
        <f t="shared" si="3"/>
        <v>40000.033040000002</v>
      </c>
      <c r="K201" s="15" t="s">
        <v>16</v>
      </c>
      <c r="L201" s="13"/>
      <c r="M201" s="13"/>
      <c r="N201" s="14"/>
    </row>
    <row r="202" spans="1:14" x14ac:dyDescent="0.35">
      <c r="A202" s="16" t="s">
        <v>27</v>
      </c>
      <c r="B202" s="6" t="s">
        <v>28</v>
      </c>
      <c r="C202" s="12">
        <v>43605</v>
      </c>
      <c r="D202" s="8">
        <v>448.29599999999999</v>
      </c>
      <c r="E202" s="8">
        <v>100.38</v>
      </c>
      <c r="F202" s="13"/>
      <c r="G202" s="13" t="s">
        <v>13</v>
      </c>
      <c r="H202" s="13" t="s">
        <v>29</v>
      </c>
      <c r="I202" s="13" t="s">
        <v>30</v>
      </c>
      <c r="J202" s="17">
        <f t="shared" si="3"/>
        <v>44999.95248</v>
      </c>
      <c r="K202" s="15" t="s">
        <v>16</v>
      </c>
      <c r="L202" s="13"/>
      <c r="M202" s="13"/>
      <c r="N202" s="14"/>
    </row>
    <row r="203" spans="1:14" x14ac:dyDescent="0.35">
      <c r="A203" s="16" t="s">
        <v>27</v>
      </c>
      <c r="B203" s="6" t="s">
        <v>28</v>
      </c>
      <c r="C203" s="12">
        <v>43606</v>
      </c>
      <c r="D203" s="8">
        <v>251.155</v>
      </c>
      <c r="E203" s="8">
        <v>99.54</v>
      </c>
      <c r="F203" s="13"/>
      <c r="G203" s="13" t="s">
        <v>13</v>
      </c>
      <c r="H203" s="13" t="s">
        <v>29</v>
      </c>
      <c r="I203" s="13" t="s">
        <v>30</v>
      </c>
      <c r="J203" s="17">
        <f t="shared" si="3"/>
        <v>24999.968700000001</v>
      </c>
      <c r="K203" s="15" t="s">
        <v>16</v>
      </c>
      <c r="L203" s="13"/>
      <c r="M203" s="13"/>
      <c r="N203" s="14"/>
    </row>
    <row r="204" spans="1:14" x14ac:dyDescent="0.35">
      <c r="A204" s="16" t="s">
        <v>27</v>
      </c>
      <c r="B204" s="6" t="s">
        <v>28</v>
      </c>
      <c r="C204" s="12">
        <v>43608</v>
      </c>
      <c r="D204" s="8">
        <v>402.17200000000003</v>
      </c>
      <c r="E204" s="8">
        <v>99.46</v>
      </c>
      <c r="F204" s="13"/>
      <c r="G204" s="13" t="s">
        <v>13</v>
      </c>
      <c r="H204" s="13" t="s">
        <v>29</v>
      </c>
      <c r="I204" s="13" t="s">
        <v>30</v>
      </c>
      <c r="J204" s="17">
        <f t="shared" si="3"/>
        <v>40000.027119999999</v>
      </c>
      <c r="K204" s="15" t="s">
        <v>16</v>
      </c>
      <c r="L204" s="13"/>
      <c r="M204" s="13"/>
      <c r="N204" s="14"/>
    </row>
    <row r="205" spans="1:14" x14ac:dyDescent="0.35">
      <c r="A205" s="16" t="s">
        <v>27</v>
      </c>
      <c r="B205" s="6" t="s">
        <v>28</v>
      </c>
      <c r="C205" s="12">
        <v>43612</v>
      </c>
      <c r="D205" s="8">
        <v>962.47299999999996</v>
      </c>
      <c r="E205" s="8">
        <v>102.86</v>
      </c>
      <c r="F205" s="13"/>
      <c r="G205" s="13" t="s">
        <v>13</v>
      </c>
      <c r="H205" s="13" t="s">
        <v>29</v>
      </c>
      <c r="I205" s="13" t="s">
        <v>30</v>
      </c>
      <c r="J205" s="17">
        <f t="shared" si="3"/>
        <v>98999.972779999996</v>
      </c>
      <c r="K205" s="15" t="s">
        <v>16</v>
      </c>
      <c r="L205" s="13"/>
      <c r="M205" s="13"/>
      <c r="N205" s="14"/>
    </row>
    <row r="206" spans="1:14" x14ac:dyDescent="0.35">
      <c r="A206" s="16" t="s">
        <v>27</v>
      </c>
      <c r="B206" s="6" t="s">
        <v>28</v>
      </c>
      <c r="C206" s="12">
        <v>43613</v>
      </c>
      <c r="D206" s="8">
        <v>281.52600000000001</v>
      </c>
      <c r="E206" s="8">
        <v>103.01</v>
      </c>
      <c r="F206" s="13"/>
      <c r="G206" s="13" t="s">
        <v>13</v>
      </c>
      <c r="H206" s="13" t="s">
        <v>29</v>
      </c>
      <c r="I206" s="13" t="s">
        <v>30</v>
      </c>
      <c r="J206" s="17">
        <f t="shared" si="3"/>
        <v>28999.993260000003</v>
      </c>
      <c r="K206" s="15" t="s">
        <v>16</v>
      </c>
      <c r="L206" s="13"/>
      <c r="M206" s="13"/>
      <c r="N206" s="14"/>
    </row>
    <row r="207" spans="1:14" x14ac:dyDescent="0.35">
      <c r="A207" s="16" t="s">
        <v>27</v>
      </c>
      <c r="B207" s="6" t="s">
        <v>28</v>
      </c>
      <c r="C207" s="12">
        <v>43614</v>
      </c>
      <c r="D207" s="8">
        <v>215.26400000000001</v>
      </c>
      <c r="E207" s="8">
        <v>102.2</v>
      </c>
      <c r="F207" s="13"/>
      <c r="G207" s="13" t="s">
        <v>13</v>
      </c>
      <c r="H207" s="13" t="s">
        <v>29</v>
      </c>
      <c r="I207" s="13" t="s">
        <v>30</v>
      </c>
      <c r="J207" s="17">
        <f t="shared" si="3"/>
        <v>21999.980800000001</v>
      </c>
      <c r="K207" s="15" t="s">
        <v>16</v>
      </c>
      <c r="L207" s="13"/>
      <c r="M207" s="13"/>
      <c r="N207" s="14"/>
    </row>
    <row r="208" spans="1:14" x14ac:dyDescent="0.35">
      <c r="A208" s="16" t="s">
        <v>27</v>
      </c>
      <c r="B208" s="6" t="s">
        <v>28</v>
      </c>
      <c r="C208" s="12">
        <v>43616</v>
      </c>
      <c r="D208" s="8">
        <v>195.23599999999999</v>
      </c>
      <c r="E208" s="8">
        <v>102.44</v>
      </c>
      <c r="F208" s="13"/>
      <c r="G208" s="13" t="s">
        <v>13</v>
      </c>
      <c r="H208" s="13" t="s">
        <v>29</v>
      </c>
      <c r="I208" s="13" t="s">
        <v>30</v>
      </c>
      <c r="J208" s="17">
        <f t="shared" si="3"/>
        <v>19999.975839999999</v>
      </c>
      <c r="K208" s="15" t="s">
        <v>16</v>
      </c>
      <c r="L208" s="13"/>
      <c r="M208" s="13"/>
      <c r="N208" s="14"/>
    </row>
    <row r="209" spans="1:14" x14ac:dyDescent="0.35">
      <c r="A209" s="16" t="s">
        <v>27</v>
      </c>
      <c r="B209" s="6" t="s">
        <v>28</v>
      </c>
      <c r="C209" s="12">
        <v>43622</v>
      </c>
      <c r="D209" s="8">
        <v>297.02999999999997</v>
      </c>
      <c r="E209" s="8">
        <v>101</v>
      </c>
      <c r="F209" s="13"/>
      <c r="G209" s="13" t="s">
        <v>13</v>
      </c>
      <c r="H209" s="13" t="s">
        <v>29</v>
      </c>
      <c r="I209" s="13" t="s">
        <v>30</v>
      </c>
      <c r="J209" s="17">
        <f t="shared" si="3"/>
        <v>30000.03</v>
      </c>
      <c r="K209" s="15" t="s">
        <v>16</v>
      </c>
      <c r="L209" s="13"/>
      <c r="M209" s="13"/>
      <c r="N209" s="14"/>
    </row>
    <row r="210" spans="1:14" x14ac:dyDescent="0.35">
      <c r="A210" s="16" t="s">
        <v>24</v>
      </c>
      <c r="B210" s="6" t="s">
        <v>25</v>
      </c>
      <c r="C210" s="12">
        <v>43622</v>
      </c>
      <c r="D210" s="8">
        <v>78.025000000000006</v>
      </c>
      <c r="E210" s="8">
        <v>25.632899999999999</v>
      </c>
      <c r="F210" s="13"/>
      <c r="G210" s="13" t="s">
        <v>13</v>
      </c>
      <c r="H210" s="13" t="s">
        <v>14</v>
      </c>
      <c r="I210" s="13" t="s">
        <v>26</v>
      </c>
      <c r="J210" s="17">
        <f t="shared" si="3"/>
        <v>2000.0070225000002</v>
      </c>
      <c r="K210" s="15" t="s">
        <v>16</v>
      </c>
      <c r="L210" s="13"/>
      <c r="M210" s="13"/>
      <c r="N210" s="14"/>
    </row>
    <row r="211" spans="1:14" x14ac:dyDescent="0.35">
      <c r="A211" s="16" t="s">
        <v>11</v>
      </c>
      <c r="B211" s="6" t="s">
        <v>12</v>
      </c>
      <c r="C211" s="12">
        <v>43622</v>
      </c>
      <c r="D211" s="8">
        <v>70.25</v>
      </c>
      <c r="E211" s="8">
        <v>42.704900000000002</v>
      </c>
      <c r="F211" s="13"/>
      <c r="G211" s="13" t="s">
        <v>13</v>
      </c>
      <c r="H211" s="13" t="s">
        <v>14</v>
      </c>
      <c r="I211" s="13" t="s">
        <v>15</v>
      </c>
      <c r="J211" s="17">
        <f t="shared" si="3"/>
        <v>3000.019225</v>
      </c>
      <c r="K211" s="15" t="s">
        <v>16</v>
      </c>
      <c r="L211" s="13"/>
      <c r="M211" s="13"/>
      <c r="N211" s="14"/>
    </row>
    <row r="212" spans="1:14" x14ac:dyDescent="0.35">
      <c r="A212" s="16" t="s">
        <v>20</v>
      </c>
      <c r="B212" s="6" t="s">
        <v>21</v>
      </c>
      <c r="C212" s="12">
        <v>43622</v>
      </c>
      <c r="D212" s="8">
        <v>76.995999999999995</v>
      </c>
      <c r="E212" s="8">
        <v>32.469200000000001</v>
      </c>
      <c r="F212" s="13"/>
      <c r="G212" s="13" t="s">
        <v>13</v>
      </c>
      <c r="H212" s="13" t="s">
        <v>22</v>
      </c>
      <c r="I212" s="13" t="s">
        <v>23</v>
      </c>
      <c r="J212" s="17">
        <f t="shared" si="3"/>
        <v>2499.9985231999999</v>
      </c>
      <c r="K212" s="15" t="s">
        <v>16</v>
      </c>
      <c r="L212" s="13"/>
      <c r="M212" s="13"/>
      <c r="N212" s="14"/>
    </row>
    <row r="213" spans="1:14" x14ac:dyDescent="0.35">
      <c r="A213" s="16">
        <v>18917658</v>
      </c>
      <c r="B213" s="6" t="s">
        <v>12</v>
      </c>
      <c r="C213" s="12">
        <v>43622</v>
      </c>
      <c r="D213" s="8">
        <v>46.832999999999998</v>
      </c>
      <c r="E213" s="8">
        <v>42.704900000000002</v>
      </c>
      <c r="F213" s="13"/>
      <c r="G213" s="13" t="s">
        <v>31</v>
      </c>
      <c r="H213" s="13" t="s">
        <v>14</v>
      </c>
      <c r="I213" s="13" t="s">
        <v>15</v>
      </c>
      <c r="J213" s="17">
        <f t="shared" si="3"/>
        <v>1999.9985816999999</v>
      </c>
      <c r="K213" s="15" t="s">
        <v>32</v>
      </c>
      <c r="L213" s="13"/>
      <c r="M213" s="13"/>
      <c r="N213" s="14"/>
    </row>
    <row r="214" spans="1:14" x14ac:dyDescent="0.35">
      <c r="A214" s="16" t="s">
        <v>17</v>
      </c>
      <c r="B214" s="6" t="s">
        <v>18</v>
      </c>
      <c r="C214" s="12">
        <v>43626</v>
      </c>
      <c r="D214" s="8">
        <v>70.251999999999995</v>
      </c>
      <c r="E214" s="8">
        <v>42.703499999999998</v>
      </c>
      <c r="F214" s="13"/>
      <c r="G214" s="13" t="s">
        <v>13</v>
      </c>
      <c r="H214" s="13"/>
      <c r="I214" s="13" t="s">
        <v>19</v>
      </c>
      <c r="J214" s="17">
        <f t="shared" si="3"/>
        <v>3000.0062819999998</v>
      </c>
      <c r="K214" s="15" t="s">
        <v>16</v>
      </c>
      <c r="L214" s="13"/>
      <c r="M214" s="13"/>
      <c r="N214" s="14"/>
    </row>
    <row r="215" spans="1:14" x14ac:dyDescent="0.35">
      <c r="A215" s="16" t="s">
        <v>27</v>
      </c>
      <c r="B215" s="6" t="s">
        <v>28</v>
      </c>
      <c r="C215" s="12">
        <v>43630</v>
      </c>
      <c r="D215" s="8">
        <v>49.543999999999997</v>
      </c>
      <c r="E215" s="8">
        <v>100.92</v>
      </c>
      <c r="F215" s="13"/>
      <c r="G215" s="13" t="s">
        <v>13</v>
      </c>
      <c r="H215" s="13" t="s">
        <v>29</v>
      </c>
      <c r="I215" s="13" t="s">
        <v>30</v>
      </c>
      <c r="J215" s="17">
        <f t="shared" si="3"/>
        <v>4999.9804800000002</v>
      </c>
      <c r="K215" s="15" t="s">
        <v>16</v>
      </c>
      <c r="L215" s="13"/>
      <c r="M215" s="13"/>
      <c r="N215" s="14"/>
    </row>
    <row r="216" spans="1:14" x14ac:dyDescent="0.35">
      <c r="A216" s="16" t="s">
        <v>24</v>
      </c>
      <c r="B216" s="6" t="s">
        <v>25</v>
      </c>
      <c r="C216" s="12">
        <v>43630</v>
      </c>
      <c r="D216" s="8">
        <v>115.408</v>
      </c>
      <c r="E216" s="8">
        <v>25.994700000000002</v>
      </c>
      <c r="F216" s="13"/>
      <c r="G216" s="13" t="s">
        <v>13</v>
      </c>
      <c r="H216" s="13" t="s">
        <v>14</v>
      </c>
      <c r="I216" s="13" t="s">
        <v>26</v>
      </c>
      <c r="J216" s="17">
        <f t="shared" si="3"/>
        <v>2999.9963376000001</v>
      </c>
      <c r="K216" s="15" t="s">
        <v>16</v>
      </c>
      <c r="L216" s="13"/>
      <c r="M216" s="13"/>
      <c r="N216" s="14"/>
    </row>
    <row r="217" spans="1:14" x14ac:dyDescent="0.35">
      <c r="A217" s="16" t="s">
        <v>11</v>
      </c>
      <c r="B217" s="6" t="s">
        <v>12</v>
      </c>
      <c r="C217" s="12">
        <v>43630</v>
      </c>
      <c r="D217" s="8">
        <v>46.850999999999999</v>
      </c>
      <c r="E217" s="8">
        <v>42.688299999999998</v>
      </c>
      <c r="F217" s="13"/>
      <c r="G217" s="13" t="s">
        <v>13</v>
      </c>
      <c r="H217" s="13" t="s">
        <v>14</v>
      </c>
      <c r="I217" s="13" t="s">
        <v>15</v>
      </c>
      <c r="J217" s="17">
        <f t="shared" si="3"/>
        <v>1999.9895432999999</v>
      </c>
      <c r="K217" s="15" t="s">
        <v>16</v>
      </c>
      <c r="L217" s="13"/>
      <c r="M217" s="13"/>
      <c r="N217" s="14"/>
    </row>
    <row r="218" spans="1:14" x14ac:dyDescent="0.35">
      <c r="A218" s="16" t="s">
        <v>20</v>
      </c>
      <c r="B218" s="6" t="s">
        <v>21</v>
      </c>
      <c r="C218" s="12">
        <v>43630</v>
      </c>
      <c r="D218" s="8">
        <v>77.305000000000007</v>
      </c>
      <c r="E218" s="8">
        <v>32.339300000000001</v>
      </c>
      <c r="F218" s="13"/>
      <c r="G218" s="13" t="s">
        <v>13</v>
      </c>
      <c r="H218" s="13" t="s">
        <v>22</v>
      </c>
      <c r="I218" s="13" t="s">
        <v>23</v>
      </c>
      <c r="J218" s="17">
        <f t="shared" si="3"/>
        <v>2499.9895865000003</v>
      </c>
      <c r="K218" s="15" t="s">
        <v>16</v>
      </c>
      <c r="L218" s="13"/>
      <c r="M218" s="13"/>
      <c r="N218" s="14"/>
    </row>
    <row r="219" spans="1:14" x14ac:dyDescent="0.35">
      <c r="A219" s="16" t="s">
        <v>11</v>
      </c>
      <c r="B219" s="6" t="s">
        <v>12</v>
      </c>
      <c r="C219" s="12">
        <v>43648</v>
      </c>
      <c r="D219" s="8">
        <v>69.31</v>
      </c>
      <c r="E219" s="8">
        <v>43.283999999999999</v>
      </c>
      <c r="F219" s="13"/>
      <c r="G219" s="13" t="s">
        <v>13</v>
      </c>
      <c r="H219" s="13" t="s">
        <v>14</v>
      </c>
      <c r="I219" s="13" t="s">
        <v>15</v>
      </c>
      <c r="J219" s="17">
        <f t="shared" si="3"/>
        <v>3000.01404</v>
      </c>
      <c r="K219" s="15" t="s">
        <v>16</v>
      </c>
      <c r="L219" s="13"/>
      <c r="M219" s="13"/>
      <c r="N219" s="14"/>
    </row>
    <row r="220" spans="1:14" x14ac:dyDescent="0.35">
      <c r="A220" s="16">
        <v>18917658</v>
      </c>
      <c r="B220" s="6" t="s">
        <v>12</v>
      </c>
      <c r="C220" s="12">
        <v>43648</v>
      </c>
      <c r="D220" s="8">
        <v>23.103000000000002</v>
      </c>
      <c r="E220" s="8">
        <v>43.283999999999999</v>
      </c>
      <c r="F220" s="13"/>
      <c r="G220" s="13" t="s">
        <v>31</v>
      </c>
      <c r="H220" s="13" t="s">
        <v>14</v>
      </c>
      <c r="I220" s="13" t="s">
        <v>15</v>
      </c>
      <c r="J220" s="17">
        <f t="shared" si="3"/>
        <v>999.99025200000005</v>
      </c>
      <c r="K220" s="15" t="s">
        <v>32</v>
      </c>
      <c r="L220" s="13"/>
      <c r="M220" s="13"/>
      <c r="N220" s="14"/>
    </row>
    <row r="221" spans="1:14" x14ac:dyDescent="0.35">
      <c r="A221" s="16" t="s">
        <v>27</v>
      </c>
      <c r="B221" s="6" t="s">
        <v>28</v>
      </c>
      <c r="C221" s="12">
        <v>43651</v>
      </c>
      <c r="D221" s="8">
        <v>49.776000000000003</v>
      </c>
      <c r="E221" s="8">
        <v>100.45</v>
      </c>
      <c r="F221" s="13"/>
      <c r="G221" s="13" t="s">
        <v>13</v>
      </c>
      <c r="H221" s="13" t="s">
        <v>29</v>
      </c>
      <c r="I221" s="13" t="s">
        <v>30</v>
      </c>
      <c r="J221" s="17">
        <f t="shared" si="3"/>
        <v>4999.9992000000002</v>
      </c>
      <c r="K221" s="15" t="s">
        <v>16</v>
      </c>
      <c r="L221" s="13"/>
      <c r="M221" s="13"/>
      <c r="N221" s="14"/>
    </row>
    <row r="222" spans="1:14" x14ac:dyDescent="0.35">
      <c r="A222" s="16" t="s">
        <v>24</v>
      </c>
      <c r="B222" s="6" t="s">
        <v>25</v>
      </c>
      <c r="C222" s="12">
        <v>43651</v>
      </c>
      <c r="D222" s="8">
        <v>95.283000000000001</v>
      </c>
      <c r="E222" s="8">
        <v>26.2377</v>
      </c>
      <c r="F222" s="13"/>
      <c r="G222" s="13" t="s">
        <v>13</v>
      </c>
      <c r="H222" s="13" t="s">
        <v>14</v>
      </c>
      <c r="I222" s="13" t="s">
        <v>26</v>
      </c>
      <c r="J222" s="17">
        <f t="shared" si="3"/>
        <v>2500.0067690999999</v>
      </c>
      <c r="K222" s="15" t="s">
        <v>16</v>
      </c>
      <c r="L222" s="13"/>
      <c r="M222" s="13"/>
      <c r="N222" s="14"/>
    </row>
    <row r="223" spans="1:14" x14ac:dyDescent="0.35">
      <c r="A223" s="16" t="s">
        <v>11</v>
      </c>
      <c r="B223" s="6" t="s">
        <v>12</v>
      </c>
      <c r="C223" s="12">
        <v>43651</v>
      </c>
      <c r="D223" s="8">
        <v>46.537999999999997</v>
      </c>
      <c r="E223" s="8">
        <v>42.975999999999999</v>
      </c>
      <c r="F223" s="13"/>
      <c r="G223" s="13" t="s">
        <v>13</v>
      </c>
      <c r="H223" s="13" t="s">
        <v>14</v>
      </c>
      <c r="I223" s="13" t="s">
        <v>15</v>
      </c>
      <c r="J223" s="17">
        <f t="shared" si="3"/>
        <v>2000.0170879999998</v>
      </c>
      <c r="K223" s="15" t="s">
        <v>16</v>
      </c>
      <c r="L223" s="13"/>
      <c r="M223" s="13"/>
      <c r="N223" s="14"/>
    </row>
    <row r="224" spans="1:14" x14ac:dyDescent="0.35">
      <c r="A224" s="16" t="s">
        <v>20</v>
      </c>
      <c r="B224" s="6" t="s">
        <v>21</v>
      </c>
      <c r="C224" s="12">
        <v>43651</v>
      </c>
      <c r="D224" s="8">
        <v>76.203000000000003</v>
      </c>
      <c r="E224" s="8">
        <v>32.807000000000002</v>
      </c>
      <c r="F224" s="13"/>
      <c r="G224" s="13" t="s">
        <v>13</v>
      </c>
      <c r="H224" s="13" t="s">
        <v>22</v>
      </c>
      <c r="I224" s="13" t="s">
        <v>23</v>
      </c>
      <c r="J224" s="17">
        <f t="shared" si="3"/>
        <v>2499.9918210000001</v>
      </c>
      <c r="K224" s="15" t="s">
        <v>16</v>
      </c>
      <c r="L224" s="13"/>
      <c r="M224" s="13"/>
      <c r="N224" s="14"/>
    </row>
    <row r="225" spans="1:14" x14ac:dyDescent="0.35">
      <c r="A225" s="16">
        <v>18917658</v>
      </c>
      <c r="B225" s="6" t="s">
        <v>12</v>
      </c>
      <c r="C225" s="12">
        <v>43651</v>
      </c>
      <c r="D225" s="8">
        <v>23.268999999999998</v>
      </c>
      <c r="E225" s="8">
        <v>42.975999999999999</v>
      </c>
      <c r="F225" s="13"/>
      <c r="G225" s="13" t="s">
        <v>31</v>
      </c>
      <c r="H225" s="13" t="s">
        <v>14</v>
      </c>
      <c r="I225" s="13" t="s">
        <v>15</v>
      </c>
      <c r="J225" s="17">
        <f t="shared" si="3"/>
        <v>1000.0085439999999</v>
      </c>
      <c r="K225" s="15" t="s">
        <v>32</v>
      </c>
      <c r="L225" s="13"/>
      <c r="M225" s="13"/>
      <c r="N225" s="14"/>
    </row>
    <row r="226" spans="1:14" x14ac:dyDescent="0.35">
      <c r="A226" s="16" t="s">
        <v>27</v>
      </c>
      <c r="B226" s="6" t="s">
        <v>28</v>
      </c>
      <c r="C226" s="12">
        <v>43655</v>
      </c>
      <c r="D226" s="8">
        <v>50.756</v>
      </c>
      <c r="E226" s="8">
        <v>98.51</v>
      </c>
      <c r="F226" s="13"/>
      <c r="G226" s="13" t="s">
        <v>13</v>
      </c>
      <c r="H226" s="13" t="s">
        <v>29</v>
      </c>
      <c r="I226" s="13" t="s">
        <v>30</v>
      </c>
      <c r="J226" s="17">
        <f t="shared" si="3"/>
        <v>4999.9735600000004</v>
      </c>
      <c r="K226" s="15" t="s">
        <v>16</v>
      </c>
      <c r="L226" s="13"/>
      <c r="M226" s="13"/>
      <c r="N226" s="14"/>
    </row>
    <row r="227" spans="1:14" x14ac:dyDescent="0.35">
      <c r="A227" s="16" t="s">
        <v>24</v>
      </c>
      <c r="B227" s="6" t="s">
        <v>25</v>
      </c>
      <c r="C227" s="12">
        <v>43655</v>
      </c>
      <c r="D227" s="8">
        <v>38.585999999999999</v>
      </c>
      <c r="E227" s="8">
        <v>25.916</v>
      </c>
      <c r="F227" s="13"/>
      <c r="G227" s="13" t="s">
        <v>13</v>
      </c>
      <c r="H227" s="13" t="s">
        <v>14</v>
      </c>
      <c r="I227" s="13" t="s">
        <v>26</v>
      </c>
      <c r="J227" s="17">
        <f t="shared" si="3"/>
        <v>999.994776</v>
      </c>
      <c r="K227" s="15" t="s">
        <v>16</v>
      </c>
      <c r="L227" s="13"/>
      <c r="M227" s="13"/>
      <c r="N227" s="14"/>
    </row>
    <row r="228" spans="1:14" x14ac:dyDescent="0.35">
      <c r="A228" s="16" t="s">
        <v>11</v>
      </c>
      <c r="B228" s="6" t="s">
        <v>12</v>
      </c>
      <c r="C228" s="12">
        <v>43655</v>
      </c>
      <c r="D228" s="8">
        <v>23.728999999999999</v>
      </c>
      <c r="E228" s="8">
        <v>42.1432</v>
      </c>
      <c r="F228" s="13"/>
      <c r="G228" s="13" t="s">
        <v>13</v>
      </c>
      <c r="H228" s="13" t="s">
        <v>14</v>
      </c>
      <c r="I228" s="13" t="s">
        <v>15</v>
      </c>
      <c r="J228" s="17">
        <f t="shared" si="3"/>
        <v>1000.0159927999999</v>
      </c>
      <c r="K228" s="15" t="s">
        <v>16</v>
      </c>
      <c r="L228" s="13"/>
      <c r="M228" s="13"/>
      <c r="N228" s="14"/>
    </row>
    <row r="229" spans="1:14" x14ac:dyDescent="0.35">
      <c r="A229" s="16" t="s">
        <v>20</v>
      </c>
      <c r="B229" s="6" t="s">
        <v>21</v>
      </c>
      <c r="C229" s="12">
        <v>43655</v>
      </c>
      <c r="D229" s="8">
        <v>31.172000000000001</v>
      </c>
      <c r="E229" s="8">
        <v>32.079599999999999</v>
      </c>
      <c r="F229" s="13"/>
      <c r="G229" s="13" t="s">
        <v>13</v>
      </c>
      <c r="H229" s="13" t="s">
        <v>22</v>
      </c>
      <c r="I229" s="13" t="s">
        <v>23</v>
      </c>
      <c r="J229" s="17">
        <f t="shared" si="3"/>
        <v>999.98529120000001</v>
      </c>
      <c r="K229" s="15" t="s">
        <v>16</v>
      </c>
      <c r="L229" s="13"/>
      <c r="M229" s="13"/>
      <c r="N229" s="14"/>
    </row>
    <row r="230" spans="1:14" x14ac:dyDescent="0.35">
      <c r="A230" s="16" t="s">
        <v>17</v>
      </c>
      <c r="B230" s="6" t="s">
        <v>18</v>
      </c>
      <c r="C230" s="12">
        <v>43657</v>
      </c>
      <c r="D230" s="8">
        <v>73.882999999999996</v>
      </c>
      <c r="E230" s="8">
        <v>40.604599999999998</v>
      </c>
      <c r="F230" s="13"/>
      <c r="G230" s="13" t="s">
        <v>13</v>
      </c>
      <c r="H230" s="13"/>
      <c r="I230" s="13" t="s">
        <v>19</v>
      </c>
      <c r="J230" s="17">
        <f t="shared" si="3"/>
        <v>2999.9896617999998</v>
      </c>
      <c r="K230" s="15" t="s">
        <v>16</v>
      </c>
      <c r="L230" s="13"/>
      <c r="M230" s="13"/>
      <c r="N230" s="14"/>
    </row>
    <row r="231" spans="1:14" x14ac:dyDescent="0.35">
      <c r="A231" s="16" t="s">
        <v>27</v>
      </c>
      <c r="B231" s="6" t="s">
        <v>28</v>
      </c>
      <c r="C231" s="12">
        <v>43664</v>
      </c>
      <c r="D231" s="8">
        <v>51.250999999999998</v>
      </c>
      <c r="E231" s="8">
        <v>97.56</v>
      </c>
      <c r="F231" s="13"/>
      <c r="G231" s="13" t="s">
        <v>13</v>
      </c>
      <c r="H231" s="13" t="s">
        <v>29</v>
      </c>
      <c r="I231" s="13" t="s">
        <v>30</v>
      </c>
      <c r="J231" s="17">
        <f t="shared" si="3"/>
        <v>5000.04756</v>
      </c>
      <c r="K231" s="15" t="s">
        <v>16</v>
      </c>
      <c r="L231" s="13"/>
      <c r="M231" s="13"/>
      <c r="N231" s="14"/>
    </row>
    <row r="232" spans="1:14" x14ac:dyDescent="0.35">
      <c r="A232" s="16" t="s">
        <v>24</v>
      </c>
      <c r="B232" s="6" t="s">
        <v>25</v>
      </c>
      <c r="C232" s="12">
        <v>43664</v>
      </c>
      <c r="D232" s="8">
        <v>57.631999999999998</v>
      </c>
      <c r="E232" s="8">
        <v>26.0274</v>
      </c>
      <c r="F232" s="13"/>
      <c r="G232" s="13" t="s">
        <v>13</v>
      </c>
      <c r="H232" s="13" t="s">
        <v>14</v>
      </c>
      <c r="I232" s="13" t="s">
        <v>26</v>
      </c>
      <c r="J232" s="17">
        <f t="shared" si="3"/>
        <v>1500.0111167999999</v>
      </c>
      <c r="K232" s="15" t="s">
        <v>16</v>
      </c>
      <c r="L232" s="13"/>
      <c r="M232" s="13"/>
      <c r="N232" s="14"/>
    </row>
    <row r="233" spans="1:14" x14ac:dyDescent="0.35">
      <c r="A233" s="16" t="s">
        <v>11</v>
      </c>
      <c r="B233" s="6" t="s">
        <v>12</v>
      </c>
      <c r="C233" s="12">
        <v>43664</v>
      </c>
      <c r="D233" s="8">
        <v>23.792000000000002</v>
      </c>
      <c r="E233" s="8">
        <v>42.0304</v>
      </c>
      <c r="F233" s="13"/>
      <c r="G233" s="13" t="s">
        <v>13</v>
      </c>
      <c r="H233" s="13" t="s">
        <v>14</v>
      </c>
      <c r="I233" s="13" t="s">
        <v>15</v>
      </c>
      <c r="J233" s="17">
        <f t="shared" si="3"/>
        <v>999.98727680000002</v>
      </c>
      <c r="K233" s="15" t="s">
        <v>16</v>
      </c>
      <c r="L233" s="13"/>
      <c r="M233" s="13"/>
      <c r="N233" s="14"/>
    </row>
    <row r="234" spans="1:14" x14ac:dyDescent="0.35">
      <c r="A234" s="16" t="s">
        <v>20</v>
      </c>
      <c r="B234" s="6" t="s">
        <v>21</v>
      </c>
      <c r="C234" s="12">
        <v>43664</v>
      </c>
      <c r="D234" s="8">
        <v>47.026000000000003</v>
      </c>
      <c r="E234" s="8">
        <v>31.897099999999998</v>
      </c>
      <c r="F234" s="13"/>
      <c r="G234" s="13" t="s">
        <v>13</v>
      </c>
      <c r="H234" s="13" t="s">
        <v>22</v>
      </c>
      <c r="I234" s="13" t="s">
        <v>23</v>
      </c>
      <c r="J234" s="17">
        <f t="shared" si="3"/>
        <v>1499.9930246000001</v>
      </c>
      <c r="K234" s="15" t="s">
        <v>16</v>
      </c>
      <c r="L234" s="13"/>
      <c r="M234" s="13"/>
      <c r="N234" s="14"/>
    </row>
    <row r="235" spans="1:14" x14ac:dyDescent="0.35">
      <c r="A235" s="16">
        <v>18917658</v>
      </c>
      <c r="B235" s="6" t="s">
        <v>12</v>
      </c>
      <c r="C235" s="12">
        <v>43668</v>
      </c>
      <c r="D235" s="8">
        <v>121.60299999999999</v>
      </c>
      <c r="E235" s="8">
        <v>41.1175</v>
      </c>
      <c r="F235" s="13"/>
      <c r="G235" s="13" t="s">
        <v>31</v>
      </c>
      <c r="H235" s="13" t="s">
        <v>14</v>
      </c>
      <c r="I235" s="13" t="s">
        <v>15</v>
      </c>
      <c r="J235" s="17">
        <f t="shared" si="3"/>
        <v>5000.0113524999997</v>
      </c>
      <c r="K235" s="15" t="s">
        <v>32</v>
      </c>
      <c r="L235" s="13"/>
      <c r="M235" s="13"/>
      <c r="N235" s="14"/>
    </row>
    <row r="236" spans="1:14" x14ac:dyDescent="0.35">
      <c r="A236" s="16" t="s">
        <v>27</v>
      </c>
      <c r="B236" s="6" t="s">
        <v>28</v>
      </c>
      <c r="C236" s="12">
        <v>43670</v>
      </c>
      <c r="D236" s="8">
        <v>52.994</v>
      </c>
      <c r="E236" s="8">
        <v>94.35</v>
      </c>
      <c r="F236" s="13"/>
      <c r="G236" s="13" t="s">
        <v>13</v>
      </c>
      <c r="H236" s="13" t="s">
        <v>29</v>
      </c>
      <c r="I236" s="13" t="s">
        <v>30</v>
      </c>
      <c r="J236" s="17">
        <f t="shared" si="3"/>
        <v>4999.9838999999993</v>
      </c>
      <c r="K236" s="15" t="s">
        <v>16</v>
      </c>
      <c r="L236" s="13"/>
      <c r="M236" s="13"/>
      <c r="N236" s="14"/>
    </row>
    <row r="237" spans="1:14" x14ac:dyDescent="0.35">
      <c r="A237" s="16" t="s">
        <v>24</v>
      </c>
      <c r="B237" s="6" t="s">
        <v>25</v>
      </c>
      <c r="C237" s="12">
        <v>43670</v>
      </c>
      <c r="D237" s="8">
        <v>39.238999999999997</v>
      </c>
      <c r="E237" s="8">
        <v>25.4847</v>
      </c>
      <c r="F237" s="13"/>
      <c r="G237" s="13" t="s">
        <v>13</v>
      </c>
      <c r="H237" s="13" t="s">
        <v>14</v>
      </c>
      <c r="I237" s="13" t="s">
        <v>26</v>
      </c>
      <c r="J237" s="17">
        <f t="shared" si="3"/>
        <v>999.99414329999991</v>
      </c>
      <c r="K237" s="15" t="s">
        <v>16</v>
      </c>
      <c r="L237" s="13"/>
      <c r="M237" s="13"/>
      <c r="N237" s="14"/>
    </row>
    <row r="238" spans="1:14" x14ac:dyDescent="0.35">
      <c r="A238" s="16">
        <v>18917658</v>
      </c>
      <c r="B238" s="6" t="s">
        <v>12</v>
      </c>
      <c r="C238" s="12">
        <v>43670</v>
      </c>
      <c r="D238" s="8">
        <v>61.323999999999998</v>
      </c>
      <c r="E238" s="8">
        <v>40.7669</v>
      </c>
      <c r="F238" s="13"/>
      <c r="G238" s="13" t="s">
        <v>31</v>
      </c>
      <c r="H238" s="13" t="s">
        <v>14</v>
      </c>
      <c r="I238" s="13" t="s">
        <v>15</v>
      </c>
      <c r="J238" s="17">
        <f t="shared" si="3"/>
        <v>2499.9893755999997</v>
      </c>
      <c r="K238" s="15" t="s">
        <v>32</v>
      </c>
      <c r="L238" s="13"/>
      <c r="M238" s="13"/>
      <c r="N238" s="14"/>
    </row>
    <row r="239" spans="1:14" x14ac:dyDescent="0.35">
      <c r="A239" s="16" t="s">
        <v>27</v>
      </c>
      <c r="B239" s="6" t="s">
        <v>28</v>
      </c>
      <c r="C239" s="12">
        <v>43676</v>
      </c>
      <c r="D239" s="8">
        <v>53.642000000000003</v>
      </c>
      <c r="E239" s="8">
        <v>93.21</v>
      </c>
      <c r="F239" s="13"/>
      <c r="G239" s="13" t="s">
        <v>13</v>
      </c>
      <c r="H239" s="13" t="s">
        <v>29</v>
      </c>
      <c r="I239" s="13" t="s">
        <v>30</v>
      </c>
      <c r="J239" s="17">
        <f t="shared" si="3"/>
        <v>4999.9708199999995</v>
      </c>
      <c r="K239" s="15" t="s">
        <v>16</v>
      </c>
      <c r="L239" s="13"/>
      <c r="M239" s="13"/>
      <c r="N239" s="14"/>
    </row>
    <row r="240" spans="1:14" x14ac:dyDescent="0.35">
      <c r="A240" s="16" t="s">
        <v>24</v>
      </c>
      <c r="B240" s="6" t="s">
        <v>25</v>
      </c>
      <c r="C240" s="12">
        <v>43676</v>
      </c>
      <c r="D240" s="8">
        <v>39.21</v>
      </c>
      <c r="E240" s="8">
        <v>25.503699999999998</v>
      </c>
      <c r="F240" s="13"/>
      <c r="G240" s="13" t="s">
        <v>13</v>
      </c>
      <c r="H240" s="13" t="s">
        <v>14</v>
      </c>
      <c r="I240" s="13" t="s">
        <v>26</v>
      </c>
      <c r="J240" s="17">
        <f t="shared" si="3"/>
        <v>1000.0000769999999</v>
      </c>
      <c r="K240" s="15" t="s">
        <v>16</v>
      </c>
      <c r="L240" s="13"/>
      <c r="M240" s="13"/>
      <c r="N240" s="14"/>
    </row>
    <row r="241" spans="1:14" x14ac:dyDescent="0.35">
      <c r="A241" s="16" t="s">
        <v>11</v>
      </c>
      <c r="B241" s="6" t="s">
        <v>12</v>
      </c>
      <c r="C241" s="12">
        <v>43676</v>
      </c>
      <c r="D241" s="8">
        <v>49.518999999999998</v>
      </c>
      <c r="E241" s="8">
        <v>40.388599999999997</v>
      </c>
      <c r="F241" s="13"/>
      <c r="G241" s="13" t="s">
        <v>13</v>
      </c>
      <c r="H241" s="13" t="s">
        <v>14</v>
      </c>
      <c r="I241" s="13" t="s">
        <v>15</v>
      </c>
      <c r="J241" s="17">
        <f t="shared" si="3"/>
        <v>2000.0030833999997</v>
      </c>
      <c r="K241" s="15" t="s">
        <v>16</v>
      </c>
      <c r="L241" s="13"/>
      <c r="M241" s="13"/>
      <c r="N241" s="14"/>
    </row>
    <row r="242" spans="1:14" x14ac:dyDescent="0.35">
      <c r="A242" s="16" t="s">
        <v>20</v>
      </c>
      <c r="B242" s="6" t="s">
        <v>21</v>
      </c>
      <c r="C242" s="12">
        <v>43676</v>
      </c>
      <c r="D242" s="8">
        <v>64.606999999999999</v>
      </c>
      <c r="E242" s="8">
        <v>30.956399999999999</v>
      </c>
      <c r="F242" s="13"/>
      <c r="G242" s="13" t="s">
        <v>13</v>
      </c>
      <c r="H242" s="13" t="s">
        <v>22</v>
      </c>
      <c r="I242" s="13" t="s">
        <v>23</v>
      </c>
      <c r="J242" s="17">
        <f t="shared" si="3"/>
        <v>2000.0001347999998</v>
      </c>
      <c r="K242" s="15" t="s">
        <v>16</v>
      </c>
      <c r="L242" s="13"/>
      <c r="M242" s="13"/>
      <c r="N242" s="14"/>
    </row>
    <row r="243" spans="1:14" x14ac:dyDescent="0.35">
      <c r="A243" s="16">
        <v>18917658</v>
      </c>
      <c r="B243" s="6" t="s">
        <v>12</v>
      </c>
      <c r="C243" s="12">
        <v>43676</v>
      </c>
      <c r="D243" s="8">
        <v>37.139000000000003</v>
      </c>
      <c r="E243" s="8">
        <v>40.388599999999997</v>
      </c>
      <c r="F243" s="13"/>
      <c r="G243" s="13" t="s">
        <v>31</v>
      </c>
      <c r="H243" s="13" t="s">
        <v>14</v>
      </c>
      <c r="I243" s="13" t="s">
        <v>15</v>
      </c>
      <c r="J243" s="17">
        <f t="shared" si="3"/>
        <v>1499.9922154000001</v>
      </c>
      <c r="K243" s="15" t="s">
        <v>32</v>
      </c>
      <c r="L243" s="13"/>
      <c r="M243" s="13"/>
      <c r="N243" s="14"/>
    </row>
    <row r="244" spans="1:14" x14ac:dyDescent="0.35">
      <c r="A244" s="16" t="s">
        <v>27</v>
      </c>
      <c r="B244" s="6" t="s">
        <v>28</v>
      </c>
      <c r="C244" s="12">
        <v>43678</v>
      </c>
      <c r="D244" s="8">
        <v>162.16200000000001</v>
      </c>
      <c r="E244" s="8">
        <v>92.5</v>
      </c>
      <c r="F244" s="13"/>
      <c r="G244" s="13" t="s">
        <v>13</v>
      </c>
      <c r="H244" s="13" t="s">
        <v>29</v>
      </c>
      <c r="I244" s="13" t="s">
        <v>30</v>
      </c>
      <c r="J244" s="17">
        <f t="shared" si="3"/>
        <v>14999.985000000001</v>
      </c>
      <c r="K244" s="15" t="s">
        <v>16</v>
      </c>
      <c r="L244" s="13"/>
      <c r="M244" s="13"/>
      <c r="N244" s="14"/>
    </row>
    <row r="245" spans="1:14" x14ac:dyDescent="0.35">
      <c r="A245" s="16" t="s">
        <v>24</v>
      </c>
      <c r="B245" s="6" t="s">
        <v>25</v>
      </c>
      <c r="C245" s="12">
        <v>43678</v>
      </c>
      <c r="D245" s="8">
        <v>79.3</v>
      </c>
      <c r="E245" s="8">
        <v>25.220700000000001</v>
      </c>
      <c r="F245" s="13"/>
      <c r="G245" s="13" t="s">
        <v>13</v>
      </c>
      <c r="H245" s="13" t="s">
        <v>14</v>
      </c>
      <c r="I245" s="13" t="s">
        <v>26</v>
      </c>
      <c r="J245" s="17">
        <f t="shared" si="3"/>
        <v>2000.0015100000001</v>
      </c>
      <c r="K245" s="15" t="s">
        <v>16</v>
      </c>
      <c r="L245" s="13"/>
      <c r="M245" s="13"/>
      <c r="N245" s="14"/>
    </row>
    <row r="246" spans="1:14" x14ac:dyDescent="0.35">
      <c r="A246" s="16" t="s">
        <v>11</v>
      </c>
      <c r="B246" s="6" t="s">
        <v>12</v>
      </c>
      <c r="C246" s="12">
        <v>43678</v>
      </c>
      <c r="D246" s="8">
        <v>24.948</v>
      </c>
      <c r="E246" s="8">
        <v>40.082700000000003</v>
      </c>
      <c r="F246" s="13"/>
      <c r="G246" s="13" t="s">
        <v>13</v>
      </c>
      <c r="H246" s="13" t="s">
        <v>14</v>
      </c>
      <c r="I246" s="13" t="s">
        <v>15</v>
      </c>
      <c r="J246" s="17">
        <f t="shared" si="3"/>
        <v>999.98319960000003</v>
      </c>
      <c r="K246" s="15" t="s">
        <v>16</v>
      </c>
      <c r="L246" s="13"/>
      <c r="M246" s="13"/>
      <c r="N246" s="14"/>
    </row>
    <row r="247" spans="1:14" x14ac:dyDescent="0.35">
      <c r="A247" s="16" t="s">
        <v>20</v>
      </c>
      <c r="B247" s="6" t="s">
        <v>21</v>
      </c>
      <c r="C247" s="12">
        <v>43678</v>
      </c>
      <c r="D247" s="8">
        <v>48.793999999999997</v>
      </c>
      <c r="E247" s="8">
        <v>30.741399999999999</v>
      </c>
      <c r="F247" s="13"/>
      <c r="G247" s="13" t="s">
        <v>13</v>
      </c>
      <c r="H247" s="13" t="s">
        <v>22</v>
      </c>
      <c r="I247" s="13" t="s">
        <v>23</v>
      </c>
      <c r="J247" s="17">
        <f t="shared" si="3"/>
        <v>1499.9958715999999</v>
      </c>
      <c r="K247" s="15" t="s">
        <v>16</v>
      </c>
      <c r="L247" s="13"/>
      <c r="M247" s="13"/>
      <c r="N247" s="14"/>
    </row>
    <row r="248" spans="1:14" x14ac:dyDescent="0.35">
      <c r="A248" s="16">
        <v>18917658</v>
      </c>
      <c r="B248" s="6" t="s">
        <v>12</v>
      </c>
      <c r="C248" s="12">
        <v>43678</v>
      </c>
      <c r="D248" s="8">
        <v>99.793999999999997</v>
      </c>
      <c r="E248" s="8">
        <v>40.082700000000003</v>
      </c>
      <c r="F248" s="13"/>
      <c r="G248" s="13" t="s">
        <v>31</v>
      </c>
      <c r="H248" s="13" t="s">
        <v>14</v>
      </c>
      <c r="I248" s="13" t="s">
        <v>15</v>
      </c>
      <c r="J248" s="17">
        <f t="shared" si="3"/>
        <v>4000.0129638000003</v>
      </c>
      <c r="K248" s="15" t="s">
        <v>32</v>
      </c>
      <c r="L248" s="13"/>
      <c r="M248" s="13"/>
      <c r="N248" s="14"/>
    </row>
    <row r="249" spans="1:14" x14ac:dyDescent="0.35">
      <c r="A249" s="16" t="s">
        <v>27</v>
      </c>
      <c r="B249" s="6" t="s">
        <v>28</v>
      </c>
      <c r="C249" s="12">
        <v>43684</v>
      </c>
      <c r="D249" s="8">
        <v>108.956</v>
      </c>
      <c r="E249" s="8">
        <v>91.78</v>
      </c>
      <c r="F249" s="13"/>
      <c r="G249" s="13" t="s">
        <v>13</v>
      </c>
      <c r="H249" s="13" t="s">
        <v>29</v>
      </c>
      <c r="I249" s="13" t="s">
        <v>30</v>
      </c>
      <c r="J249" s="17">
        <f t="shared" si="3"/>
        <v>9999.9816800000008</v>
      </c>
      <c r="K249" s="15" t="s">
        <v>16</v>
      </c>
      <c r="L249" s="13"/>
      <c r="M249" s="13"/>
      <c r="N249" s="14"/>
    </row>
    <row r="250" spans="1:14" x14ac:dyDescent="0.35">
      <c r="A250" s="16" t="s">
        <v>24</v>
      </c>
      <c r="B250" s="6" t="s">
        <v>25</v>
      </c>
      <c r="C250" s="12">
        <v>43684</v>
      </c>
      <c r="D250" s="8">
        <v>39.805999999999997</v>
      </c>
      <c r="E250" s="8">
        <v>25.122</v>
      </c>
      <c r="F250" s="13"/>
      <c r="G250" s="13" t="s">
        <v>13</v>
      </c>
      <c r="H250" s="13" t="s">
        <v>14</v>
      </c>
      <c r="I250" s="13" t="s">
        <v>26</v>
      </c>
      <c r="J250" s="17">
        <f t="shared" si="3"/>
        <v>1000.0063319999999</v>
      </c>
      <c r="K250" s="15" t="s">
        <v>16</v>
      </c>
      <c r="L250" s="13"/>
      <c r="M250" s="13"/>
      <c r="N250" s="14"/>
    </row>
    <row r="251" spans="1:14" x14ac:dyDescent="0.35">
      <c r="A251" s="16" t="s">
        <v>11</v>
      </c>
      <c r="B251" s="6" t="s">
        <v>12</v>
      </c>
      <c r="C251" s="12">
        <v>43684</v>
      </c>
      <c r="D251" s="8">
        <v>25.231999999999999</v>
      </c>
      <c r="E251" s="8">
        <v>39.631799999999998</v>
      </c>
      <c r="F251" s="13"/>
      <c r="G251" s="13" t="s">
        <v>13</v>
      </c>
      <c r="H251" s="13" t="s">
        <v>14</v>
      </c>
      <c r="I251" s="13" t="s">
        <v>15</v>
      </c>
      <c r="J251" s="17">
        <f t="shared" si="3"/>
        <v>999.98957759999996</v>
      </c>
      <c r="K251" s="15" t="s">
        <v>16</v>
      </c>
      <c r="L251" s="13"/>
      <c r="M251" s="13"/>
      <c r="N251" s="14"/>
    </row>
    <row r="252" spans="1:14" x14ac:dyDescent="0.35">
      <c r="A252" s="16" t="s">
        <v>20</v>
      </c>
      <c r="B252" s="6" t="s">
        <v>21</v>
      </c>
      <c r="C252" s="12">
        <v>43684</v>
      </c>
      <c r="D252" s="8">
        <v>49.18</v>
      </c>
      <c r="E252" s="8">
        <v>30.500499999999999</v>
      </c>
      <c r="F252" s="13"/>
      <c r="G252" s="13" t="s">
        <v>13</v>
      </c>
      <c r="H252" s="13" t="s">
        <v>22</v>
      </c>
      <c r="I252" s="13" t="s">
        <v>23</v>
      </c>
      <c r="J252" s="17">
        <f t="shared" si="3"/>
        <v>1500.01459</v>
      </c>
      <c r="K252" s="15" t="s">
        <v>16</v>
      </c>
      <c r="L252" s="13"/>
      <c r="M252" s="13"/>
      <c r="N252" s="14"/>
    </row>
    <row r="253" spans="1:14" x14ac:dyDescent="0.35">
      <c r="A253" s="16">
        <v>18917658</v>
      </c>
      <c r="B253" s="6" t="s">
        <v>12</v>
      </c>
      <c r="C253" s="12">
        <v>43684</v>
      </c>
      <c r="D253" s="8">
        <v>50.465000000000003</v>
      </c>
      <c r="E253" s="8">
        <v>39.631799999999998</v>
      </c>
      <c r="F253" s="13"/>
      <c r="G253" s="13" t="s">
        <v>31</v>
      </c>
      <c r="H253" s="13" t="s">
        <v>14</v>
      </c>
      <c r="I253" s="13" t="s">
        <v>15</v>
      </c>
      <c r="J253" s="17">
        <f t="shared" si="3"/>
        <v>2000.018787</v>
      </c>
      <c r="K253" s="15" t="s">
        <v>32</v>
      </c>
      <c r="L253" s="13"/>
      <c r="M253" s="13"/>
      <c r="N253" s="14"/>
    </row>
    <row r="254" spans="1:14" x14ac:dyDescent="0.35">
      <c r="A254" s="16" t="s">
        <v>27</v>
      </c>
      <c r="B254" s="6" t="s">
        <v>28</v>
      </c>
      <c r="C254" s="12">
        <v>43686</v>
      </c>
      <c r="D254" s="8">
        <v>53.533000000000001</v>
      </c>
      <c r="E254" s="8">
        <v>93.4</v>
      </c>
      <c r="F254" s="13"/>
      <c r="G254" s="13" t="s">
        <v>13</v>
      </c>
      <c r="H254" s="13" t="s">
        <v>29</v>
      </c>
      <c r="I254" s="13" t="s">
        <v>30</v>
      </c>
      <c r="J254" s="17">
        <f t="shared" si="3"/>
        <v>4999.9822000000004</v>
      </c>
      <c r="K254" s="15" t="s">
        <v>16</v>
      </c>
      <c r="L254" s="13"/>
      <c r="M254" s="13"/>
      <c r="N254" s="14"/>
    </row>
    <row r="255" spans="1:14" x14ac:dyDescent="0.35">
      <c r="A255" s="16" t="s">
        <v>17</v>
      </c>
      <c r="B255" s="6" t="s">
        <v>18</v>
      </c>
      <c r="C255" s="12">
        <v>43690</v>
      </c>
      <c r="D255" s="8">
        <v>80.373000000000005</v>
      </c>
      <c r="E255" s="8">
        <v>37.326000000000001</v>
      </c>
      <c r="F255" s="13"/>
      <c r="G255" s="13" t="s">
        <v>13</v>
      </c>
      <c r="H255" s="13"/>
      <c r="I255" s="13" t="s">
        <v>19</v>
      </c>
      <c r="J255" s="17">
        <f t="shared" si="3"/>
        <v>3000.002598</v>
      </c>
      <c r="K255" s="15" t="s">
        <v>16</v>
      </c>
      <c r="L255" s="13"/>
      <c r="M255" s="13"/>
      <c r="N255" s="14"/>
    </row>
    <row r="256" spans="1:14" x14ac:dyDescent="0.35">
      <c r="A256" s="16" t="s">
        <v>27</v>
      </c>
      <c r="B256" s="6" t="s">
        <v>28</v>
      </c>
      <c r="C256" s="12">
        <v>43696</v>
      </c>
      <c r="D256" s="8">
        <v>108.096</v>
      </c>
      <c r="E256" s="8">
        <v>92.51</v>
      </c>
      <c r="F256" s="13"/>
      <c r="G256" s="13" t="s">
        <v>13</v>
      </c>
      <c r="H256" s="13" t="s">
        <v>29</v>
      </c>
      <c r="I256" s="13" t="s">
        <v>30</v>
      </c>
      <c r="J256" s="17">
        <f t="shared" si="3"/>
        <v>9999.9609600000003</v>
      </c>
      <c r="K256" s="15" t="s">
        <v>16</v>
      </c>
      <c r="L256" s="13"/>
      <c r="M256" s="13"/>
      <c r="N256" s="14"/>
    </row>
    <row r="257" spans="1:14" x14ac:dyDescent="0.35">
      <c r="A257" s="16" t="s">
        <v>27</v>
      </c>
      <c r="B257" s="6" t="s">
        <v>28</v>
      </c>
      <c r="C257" s="12">
        <v>43705</v>
      </c>
      <c r="D257" s="8">
        <v>108.178</v>
      </c>
      <c r="E257" s="8">
        <v>92.44</v>
      </c>
      <c r="F257" s="13"/>
      <c r="G257" s="13" t="s">
        <v>13</v>
      </c>
      <c r="H257" s="13" t="s">
        <v>29</v>
      </c>
      <c r="I257" s="13" t="s">
        <v>30</v>
      </c>
      <c r="J257" s="17">
        <f t="shared" si="3"/>
        <v>9999.9743199999994</v>
      </c>
      <c r="K257" s="15" t="s">
        <v>16</v>
      </c>
      <c r="L257" s="13"/>
      <c r="M257" s="13"/>
      <c r="N257" s="14"/>
    </row>
    <row r="258" spans="1:14" x14ac:dyDescent="0.35">
      <c r="A258" s="16" t="s">
        <v>24</v>
      </c>
      <c r="B258" s="6" t="s">
        <v>25</v>
      </c>
      <c r="C258" s="12">
        <v>43705</v>
      </c>
      <c r="D258" s="8">
        <v>39.39</v>
      </c>
      <c r="E258" s="8">
        <v>25.387</v>
      </c>
      <c r="F258" s="13"/>
      <c r="G258" s="13" t="s">
        <v>13</v>
      </c>
      <c r="H258" s="13" t="s">
        <v>14</v>
      </c>
      <c r="I258" s="13" t="s">
        <v>26</v>
      </c>
      <c r="J258" s="17">
        <f t="shared" ref="J258:J321" si="4">D258*E258</f>
        <v>999.99392999999998</v>
      </c>
      <c r="K258" s="15" t="s">
        <v>16</v>
      </c>
      <c r="L258" s="13"/>
      <c r="M258" s="13"/>
      <c r="N258" s="14"/>
    </row>
    <row r="259" spans="1:14" x14ac:dyDescent="0.35">
      <c r="A259" s="16" t="s">
        <v>11</v>
      </c>
      <c r="B259" s="6" t="s">
        <v>12</v>
      </c>
      <c r="C259" s="12">
        <v>43705</v>
      </c>
      <c r="D259" s="8">
        <v>24.831</v>
      </c>
      <c r="E259" s="8">
        <v>40.271999999999998</v>
      </c>
      <c r="F259" s="13"/>
      <c r="G259" s="13" t="s">
        <v>13</v>
      </c>
      <c r="H259" s="13" t="s">
        <v>14</v>
      </c>
      <c r="I259" s="13" t="s">
        <v>15</v>
      </c>
      <c r="J259" s="17">
        <f t="shared" si="4"/>
        <v>999.99403199999995</v>
      </c>
      <c r="K259" s="15" t="s">
        <v>16</v>
      </c>
      <c r="L259" s="13"/>
      <c r="M259" s="13"/>
      <c r="N259" s="14"/>
    </row>
    <row r="260" spans="1:14" x14ac:dyDescent="0.35">
      <c r="A260" s="16" t="s">
        <v>20</v>
      </c>
      <c r="B260" s="6" t="s">
        <v>21</v>
      </c>
      <c r="C260" s="12">
        <v>43705</v>
      </c>
      <c r="D260" s="8">
        <v>32.218000000000004</v>
      </c>
      <c r="E260" s="8">
        <v>31.039000000000001</v>
      </c>
      <c r="F260" s="13"/>
      <c r="G260" s="13" t="s">
        <v>13</v>
      </c>
      <c r="H260" s="13" t="s">
        <v>22</v>
      </c>
      <c r="I260" s="13" t="s">
        <v>23</v>
      </c>
      <c r="J260" s="17">
        <f t="shared" si="4"/>
        <v>1000.0145020000001</v>
      </c>
      <c r="K260" s="15" t="s">
        <v>16</v>
      </c>
      <c r="L260" s="13"/>
      <c r="M260" s="13"/>
      <c r="N260" s="14"/>
    </row>
    <row r="261" spans="1:14" x14ac:dyDescent="0.35">
      <c r="A261" s="16">
        <v>18917658</v>
      </c>
      <c r="B261" s="6" t="s">
        <v>12</v>
      </c>
      <c r="C261" s="12">
        <v>43705</v>
      </c>
      <c r="D261" s="8">
        <v>49.661999999999999</v>
      </c>
      <c r="E261" s="8">
        <v>40.271999999999998</v>
      </c>
      <c r="F261" s="13"/>
      <c r="G261" s="13" t="s">
        <v>31</v>
      </c>
      <c r="H261" s="13" t="s">
        <v>14</v>
      </c>
      <c r="I261" s="13" t="s">
        <v>15</v>
      </c>
      <c r="J261" s="17">
        <f t="shared" si="4"/>
        <v>1999.9880639999999</v>
      </c>
      <c r="K261" s="15" t="s">
        <v>32</v>
      </c>
      <c r="L261" s="13"/>
      <c r="M261" s="13"/>
      <c r="N261" s="14"/>
    </row>
    <row r="262" spans="1:14" x14ac:dyDescent="0.35">
      <c r="A262" s="16" t="s">
        <v>27</v>
      </c>
      <c r="B262" s="6" t="s">
        <v>28</v>
      </c>
      <c r="C262" s="12">
        <v>43706</v>
      </c>
      <c r="D262" s="8">
        <v>54.472000000000001</v>
      </c>
      <c r="E262" s="8">
        <v>91.79</v>
      </c>
      <c r="F262" s="13"/>
      <c r="G262" s="13" t="s">
        <v>13</v>
      </c>
      <c r="H262" s="13" t="s">
        <v>29</v>
      </c>
      <c r="I262" s="13" t="s">
        <v>30</v>
      </c>
      <c r="J262" s="17">
        <f t="shared" si="4"/>
        <v>4999.9848800000009</v>
      </c>
      <c r="K262" s="15" t="s">
        <v>16</v>
      </c>
      <c r="L262" s="13"/>
      <c r="M262" s="13"/>
      <c r="N262" s="14"/>
    </row>
    <row r="263" spans="1:14" x14ac:dyDescent="0.35">
      <c r="A263" s="16" t="s">
        <v>24</v>
      </c>
      <c r="B263" s="6" t="s">
        <v>25</v>
      </c>
      <c r="C263" s="12">
        <v>43706</v>
      </c>
      <c r="D263" s="8">
        <v>39.479999999999997</v>
      </c>
      <c r="E263" s="8">
        <v>25.329499999999999</v>
      </c>
      <c r="F263" s="13"/>
      <c r="G263" s="13" t="s">
        <v>13</v>
      </c>
      <c r="H263" s="13" t="s">
        <v>14</v>
      </c>
      <c r="I263" s="13" t="s">
        <v>26</v>
      </c>
      <c r="J263" s="17">
        <f t="shared" si="4"/>
        <v>1000.0086599999998</v>
      </c>
      <c r="K263" s="15" t="s">
        <v>16</v>
      </c>
      <c r="L263" s="13"/>
      <c r="M263" s="13"/>
      <c r="N263" s="14"/>
    </row>
    <row r="264" spans="1:14" x14ac:dyDescent="0.35">
      <c r="A264" s="16" t="s">
        <v>20</v>
      </c>
      <c r="B264" s="6" t="s">
        <v>21</v>
      </c>
      <c r="C264" s="12">
        <v>43706</v>
      </c>
      <c r="D264" s="8">
        <v>32.444000000000003</v>
      </c>
      <c r="E264" s="8">
        <v>30.822299999999998</v>
      </c>
      <c r="F264" s="13"/>
      <c r="G264" s="13" t="s">
        <v>13</v>
      </c>
      <c r="H264" s="13" t="s">
        <v>22</v>
      </c>
      <c r="I264" s="13" t="s">
        <v>23</v>
      </c>
      <c r="J264" s="17">
        <f t="shared" si="4"/>
        <v>999.99870120000003</v>
      </c>
      <c r="K264" s="15" t="s">
        <v>16</v>
      </c>
      <c r="L264" s="13"/>
      <c r="M264" s="13"/>
      <c r="N264" s="14"/>
    </row>
    <row r="265" spans="1:14" x14ac:dyDescent="0.35">
      <c r="A265" s="16">
        <v>18917658</v>
      </c>
      <c r="B265" s="6" t="s">
        <v>12</v>
      </c>
      <c r="C265" s="12">
        <v>43706</v>
      </c>
      <c r="D265" s="8">
        <v>50.031999999999996</v>
      </c>
      <c r="E265" s="8">
        <v>39.974699999999999</v>
      </c>
      <c r="F265" s="13"/>
      <c r="G265" s="13" t="s">
        <v>31</v>
      </c>
      <c r="H265" s="13" t="s">
        <v>14</v>
      </c>
      <c r="I265" s="13" t="s">
        <v>15</v>
      </c>
      <c r="J265" s="17">
        <f t="shared" si="4"/>
        <v>2000.0141903999997</v>
      </c>
      <c r="K265" s="15" t="s">
        <v>32</v>
      </c>
      <c r="L265" s="13"/>
      <c r="M265" s="13"/>
      <c r="N265" s="14"/>
    </row>
    <row r="266" spans="1:14" x14ac:dyDescent="0.35">
      <c r="A266" s="16" t="s">
        <v>17</v>
      </c>
      <c r="B266" s="6" t="s">
        <v>18</v>
      </c>
      <c r="C266" s="12">
        <v>43719</v>
      </c>
      <c r="D266" s="8">
        <v>77.471000000000004</v>
      </c>
      <c r="E266" s="8">
        <v>38.724400000000003</v>
      </c>
      <c r="F266" s="13"/>
      <c r="G266" s="13" t="s">
        <v>13</v>
      </c>
      <c r="H266" s="13"/>
      <c r="I266" s="13" t="s">
        <v>19</v>
      </c>
      <c r="J266" s="17">
        <f t="shared" si="4"/>
        <v>3000.0179924000004</v>
      </c>
      <c r="K266" s="15" t="s">
        <v>16</v>
      </c>
      <c r="L266" s="13"/>
      <c r="M266" s="13"/>
      <c r="N266" s="14"/>
    </row>
    <row r="267" spans="1:14" x14ac:dyDescent="0.35">
      <c r="A267" s="16" t="s">
        <v>27</v>
      </c>
      <c r="B267" s="6" t="s">
        <v>28</v>
      </c>
      <c r="C267" s="12">
        <v>43724</v>
      </c>
      <c r="D267" s="8">
        <v>53.396000000000001</v>
      </c>
      <c r="E267" s="8">
        <v>93.64</v>
      </c>
      <c r="F267" s="13"/>
      <c r="G267" s="13" t="s">
        <v>13</v>
      </c>
      <c r="H267" s="13" t="s">
        <v>29</v>
      </c>
      <c r="I267" s="13" t="s">
        <v>30</v>
      </c>
      <c r="J267" s="17">
        <f t="shared" si="4"/>
        <v>5000.00144</v>
      </c>
      <c r="K267" s="15" t="s">
        <v>16</v>
      </c>
      <c r="L267" s="13"/>
      <c r="M267" s="13"/>
      <c r="N267" s="14"/>
    </row>
    <row r="268" spans="1:14" x14ac:dyDescent="0.35">
      <c r="A268" s="16" t="s">
        <v>27</v>
      </c>
      <c r="B268" s="6" t="s">
        <v>28</v>
      </c>
      <c r="C268" s="12">
        <v>43725</v>
      </c>
      <c r="D268" s="8">
        <v>325.94499999999999</v>
      </c>
      <c r="E268" s="8">
        <v>92.04</v>
      </c>
      <c r="F268" s="13"/>
      <c r="G268" s="13" t="s">
        <v>13</v>
      </c>
      <c r="H268" s="13" t="s">
        <v>29</v>
      </c>
      <c r="I268" s="13" t="s">
        <v>30</v>
      </c>
      <c r="J268" s="17">
        <f t="shared" si="4"/>
        <v>29999.977800000001</v>
      </c>
      <c r="K268" s="15" t="s">
        <v>16</v>
      </c>
      <c r="L268" s="13"/>
      <c r="M268" s="13"/>
      <c r="N268" s="14"/>
    </row>
    <row r="269" spans="1:14" x14ac:dyDescent="0.35">
      <c r="A269" s="16" t="s">
        <v>24</v>
      </c>
      <c r="B269" s="6" t="s">
        <v>25</v>
      </c>
      <c r="C269" s="12">
        <v>43725</v>
      </c>
      <c r="D269" s="8">
        <v>1944.693</v>
      </c>
      <c r="E269" s="8">
        <v>25.710999999999999</v>
      </c>
      <c r="F269" s="13"/>
      <c r="G269" s="13" t="s">
        <v>13</v>
      </c>
      <c r="H269" s="13" t="s">
        <v>14</v>
      </c>
      <c r="I269" s="13" t="s">
        <v>26</v>
      </c>
      <c r="J269" s="17">
        <f t="shared" si="4"/>
        <v>50000.001722999994</v>
      </c>
      <c r="K269" s="15" t="s">
        <v>16</v>
      </c>
      <c r="L269" s="13"/>
      <c r="M269" s="13"/>
      <c r="N269" s="14"/>
    </row>
    <row r="270" spans="1:14" x14ac:dyDescent="0.35">
      <c r="A270" s="16" t="s">
        <v>24</v>
      </c>
      <c r="B270" s="6" t="s">
        <v>25</v>
      </c>
      <c r="C270" s="12">
        <v>43725</v>
      </c>
      <c r="D270" s="8">
        <v>58.341000000000001</v>
      </c>
      <c r="E270" s="8">
        <v>25.710999999999999</v>
      </c>
      <c r="F270" s="13"/>
      <c r="G270" s="13" t="s">
        <v>13</v>
      </c>
      <c r="H270" s="13" t="s">
        <v>14</v>
      </c>
      <c r="I270" s="13" t="s">
        <v>26</v>
      </c>
      <c r="J270" s="17">
        <f t="shared" si="4"/>
        <v>1500.005451</v>
      </c>
      <c r="K270" s="15" t="s">
        <v>16</v>
      </c>
      <c r="L270" s="13"/>
      <c r="M270" s="13"/>
      <c r="N270" s="14"/>
    </row>
    <row r="271" spans="1:14" x14ac:dyDescent="0.35">
      <c r="A271" s="16" t="s">
        <v>11</v>
      </c>
      <c r="B271" s="6" t="s">
        <v>12</v>
      </c>
      <c r="C271" s="12">
        <v>43725</v>
      </c>
      <c r="D271" s="8">
        <v>62.923000000000002</v>
      </c>
      <c r="E271" s="8">
        <v>39.731000000000002</v>
      </c>
      <c r="F271" s="13"/>
      <c r="G271" s="13" t="s">
        <v>13</v>
      </c>
      <c r="H271" s="13" t="s">
        <v>14</v>
      </c>
      <c r="I271" s="13" t="s">
        <v>15</v>
      </c>
      <c r="J271" s="17">
        <f t="shared" si="4"/>
        <v>2499.9937130000003</v>
      </c>
      <c r="K271" s="15" t="s">
        <v>16</v>
      </c>
      <c r="L271" s="13"/>
      <c r="M271" s="13"/>
      <c r="N271" s="14"/>
    </row>
    <row r="272" spans="1:14" x14ac:dyDescent="0.35">
      <c r="A272" s="16" t="s">
        <v>20</v>
      </c>
      <c r="B272" s="6" t="s">
        <v>21</v>
      </c>
      <c r="C272" s="12">
        <v>43725</v>
      </c>
      <c r="D272" s="8">
        <v>49.042999999999999</v>
      </c>
      <c r="E272" s="8">
        <v>30.585599999999999</v>
      </c>
      <c r="F272" s="13"/>
      <c r="G272" s="13" t="s">
        <v>13</v>
      </c>
      <c r="H272" s="13" t="s">
        <v>22</v>
      </c>
      <c r="I272" s="13" t="s">
        <v>23</v>
      </c>
      <c r="J272" s="17">
        <f t="shared" si="4"/>
        <v>1500.0095807999999</v>
      </c>
      <c r="K272" s="15" t="s">
        <v>16</v>
      </c>
      <c r="L272" s="13"/>
      <c r="M272" s="13"/>
      <c r="N272" s="14"/>
    </row>
    <row r="273" spans="1:14" x14ac:dyDescent="0.35">
      <c r="A273" s="16" t="s">
        <v>33</v>
      </c>
      <c r="B273" s="6" t="s">
        <v>25</v>
      </c>
      <c r="C273" s="12">
        <v>43725</v>
      </c>
      <c r="D273" s="8">
        <v>1944.693</v>
      </c>
      <c r="E273" s="8">
        <v>25.710999999999999</v>
      </c>
      <c r="F273" s="13"/>
      <c r="G273" s="13" t="s">
        <v>31</v>
      </c>
      <c r="H273" s="13" t="s">
        <v>14</v>
      </c>
      <c r="I273" s="13" t="s">
        <v>26</v>
      </c>
      <c r="J273" s="17">
        <f t="shared" si="4"/>
        <v>50000.001722999994</v>
      </c>
      <c r="K273" s="15" t="s">
        <v>32</v>
      </c>
      <c r="L273" s="13"/>
      <c r="M273" s="13"/>
      <c r="N273" s="14"/>
    </row>
    <row r="274" spans="1:14" x14ac:dyDescent="0.35">
      <c r="A274" s="16">
        <v>18917658</v>
      </c>
      <c r="B274" s="6" t="s">
        <v>12</v>
      </c>
      <c r="C274" s="12">
        <v>43725</v>
      </c>
      <c r="D274" s="8">
        <v>25.169</v>
      </c>
      <c r="E274" s="8">
        <v>39.731000000000002</v>
      </c>
      <c r="F274" s="13"/>
      <c r="G274" s="13" t="s">
        <v>31</v>
      </c>
      <c r="H274" s="13" t="s">
        <v>14</v>
      </c>
      <c r="I274" s="13" t="s">
        <v>15</v>
      </c>
      <c r="J274" s="17">
        <f t="shared" si="4"/>
        <v>999.98953900000004</v>
      </c>
      <c r="K274" s="15" t="s">
        <v>32</v>
      </c>
      <c r="L274" s="13"/>
      <c r="M274" s="13"/>
      <c r="N274" s="14"/>
    </row>
    <row r="275" spans="1:14" x14ac:dyDescent="0.35">
      <c r="A275" s="16" t="s">
        <v>27</v>
      </c>
      <c r="B275" s="13" t="s">
        <v>28</v>
      </c>
      <c r="C275" s="12">
        <v>43727</v>
      </c>
      <c r="D275" s="8">
        <v>438.83699999999999</v>
      </c>
      <c r="E275" s="8">
        <v>91.15</v>
      </c>
      <c r="F275" s="13"/>
      <c r="G275" s="13" t="s">
        <v>13</v>
      </c>
      <c r="H275" s="13" t="s">
        <v>29</v>
      </c>
      <c r="I275" s="13" t="s">
        <v>30</v>
      </c>
      <c r="J275" s="17">
        <f t="shared" si="4"/>
        <v>39999.992550000003</v>
      </c>
      <c r="K275" s="15" t="s">
        <v>16</v>
      </c>
      <c r="L275" s="13"/>
      <c r="M275" s="13"/>
      <c r="N275" s="14"/>
    </row>
    <row r="276" spans="1:14" x14ac:dyDescent="0.35">
      <c r="A276" s="16" t="s">
        <v>24</v>
      </c>
      <c r="B276" s="13" t="s">
        <v>25</v>
      </c>
      <c r="C276" s="12">
        <v>43727</v>
      </c>
      <c r="D276" s="8">
        <v>3996.3009999999999</v>
      </c>
      <c r="E276" s="8">
        <v>25.523599999999998</v>
      </c>
      <c r="F276" s="13"/>
      <c r="G276" s="13" t="s">
        <v>13</v>
      </c>
      <c r="H276" s="13" t="s">
        <v>14</v>
      </c>
      <c r="I276" s="13" t="s">
        <v>26</v>
      </c>
      <c r="J276" s="17">
        <f t="shared" si="4"/>
        <v>101999.98820359999</v>
      </c>
      <c r="K276" s="15" t="s">
        <v>16</v>
      </c>
      <c r="L276" s="13"/>
      <c r="M276" s="13"/>
      <c r="N276" s="14"/>
    </row>
    <row r="277" spans="1:14" x14ac:dyDescent="0.35">
      <c r="A277" s="16" t="s">
        <v>11</v>
      </c>
      <c r="B277" s="13" t="s">
        <v>12</v>
      </c>
      <c r="C277" s="12">
        <v>43727</v>
      </c>
      <c r="D277" s="8">
        <v>38.036000000000001</v>
      </c>
      <c r="E277" s="8">
        <v>39.436500000000002</v>
      </c>
      <c r="F277" s="13"/>
      <c r="G277" s="13" t="s">
        <v>13</v>
      </c>
      <c r="H277" s="13" t="s">
        <v>14</v>
      </c>
      <c r="I277" s="13" t="s">
        <v>15</v>
      </c>
      <c r="J277" s="17">
        <f t="shared" si="4"/>
        <v>1500.0067140000001</v>
      </c>
      <c r="K277" s="15" t="s">
        <v>16</v>
      </c>
      <c r="L277" s="13"/>
      <c r="M277" s="13"/>
      <c r="N277" s="14"/>
    </row>
    <row r="278" spans="1:14" x14ac:dyDescent="0.35">
      <c r="A278" s="16" t="s">
        <v>20</v>
      </c>
      <c r="B278" s="13" t="s">
        <v>21</v>
      </c>
      <c r="C278" s="12">
        <v>43727</v>
      </c>
      <c r="D278" s="8">
        <v>49.390999999999998</v>
      </c>
      <c r="E278" s="8">
        <v>30.369900000000001</v>
      </c>
      <c r="F278" s="13"/>
      <c r="G278" s="13" t="s">
        <v>13</v>
      </c>
      <c r="H278" s="13" t="s">
        <v>22</v>
      </c>
      <c r="I278" s="13" t="s">
        <v>23</v>
      </c>
      <c r="J278" s="17">
        <f t="shared" si="4"/>
        <v>1499.9997309</v>
      </c>
      <c r="K278" s="15" t="s">
        <v>16</v>
      </c>
      <c r="L278" s="13"/>
      <c r="M278" s="13"/>
      <c r="N278" s="14"/>
    </row>
    <row r="279" spans="1:14" x14ac:dyDescent="0.35">
      <c r="A279" s="16" t="s">
        <v>33</v>
      </c>
      <c r="B279" s="13" t="s">
        <v>25</v>
      </c>
      <c r="C279" s="12">
        <v>43727</v>
      </c>
      <c r="D279" s="8">
        <v>1958.971</v>
      </c>
      <c r="E279" s="8">
        <v>25.523599999999998</v>
      </c>
      <c r="F279" s="13"/>
      <c r="G279" s="13" t="s">
        <v>31</v>
      </c>
      <c r="H279" s="13" t="s">
        <v>14</v>
      </c>
      <c r="I279" s="13" t="s">
        <v>26</v>
      </c>
      <c r="J279" s="17">
        <f t="shared" si="4"/>
        <v>49999.992215599996</v>
      </c>
      <c r="K279" s="15" t="s">
        <v>32</v>
      </c>
      <c r="L279" s="13"/>
      <c r="M279" s="13"/>
      <c r="N279" s="14"/>
    </row>
    <row r="280" spans="1:14" x14ac:dyDescent="0.35">
      <c r="A280" s="16" t="s">
        <v>27</v>
      </c>
      <c r="B280" s="13" t="s">
        <v>28</v>
      </c>
      <c r="C280" s="12">
        <v>43728</v>
      </c>
      <c r="D280" s="8">
        <v>312.82600000000002</v>
      </c>
      <c r="E280" s="8">
        <v>95.9</v>
      </c>
      <c r="F280" s="13"/>
      <c r="G280" s="13" t="s">
        <v>13</v>
      </c>
      <c r="H280" s="13" t="s">
        <v>29</v>
      </c>
      <c r="I280" s="13" t="s">
        <v>30</v>
      </c>
      <c r="J280" s="17">
        <f t="shared" si="4"/>
        <v>30000.013400000003</v>
      </c>
      <c r="K280" s="15" t="s">
        <v>16</v>
      </c>
      <c r="L280" s="13"/>
      <c r="M280" s="13"/>
      <c r="N280" s="14"/>
    </row>
    <row r="281" spans="1:14" x14ac:dyDescent="0.35">
      <c r="A281" s="16" t="s">
        <v>24</v>
      </c>
      <c r="B281" s="13" t="s">
        <v>25</v>
      </c>
      <c r="C281" s="12">
        <v>43728</v>
      </c>
      <c r="D281" s="8">
        <v>1919.51</v>
      </c>
      <c r="E281" s="8">
        <v>26.308800000000002</v>
      </c>
      <c r="F281" s="13"/>
      <c r="G281" s="13" t="s">
        <v>13</v>
      </c>
      <c r="H281" s="13" t="s">
        <v>14</v>
      </c>
      <c r="I281" s="13" t="s">
        <v>26</v>
      </c>
      <c r="J281" s="17">
        <f t="shared" si="4"/>
        <v>50500.004688000001</v>
      </c>
      <c r="K281" s="15" t="s">
        <v>16</v>
      </c>
      <c r="L281" s="13"/>
      <c r="M281" s="13"/>
      <c r="N281" s="14"/>
    </row>
    <row r="282" spans="1:14" x14ac:dyDescent="0.35">
      <c r="A282" s="16" t="s">
        <v>11</v>
      </c>
      <c r="B282" s="13" t="s">
        <v>12</v>
      </c>
      <c r="C282" s="12">
        <v>43728</v>
      </c>
      <c r="D282" s="8">
        <v>24.033999999999999</v>
      </c>
      <c r="E282" s="8">
        <v>41.606900000000003</v>
      </c>
      <c r="F282" s="13"/>
      <c r="G282" s="13" t="s">
        <v>13</v>
      </c>
      <c r="H282" s="13" t="s">
        <v>14</v>
      </c>
      <c r="I282" s="13" t="s">
        <v>15</v>
      </c>
      <c r="J282" s="17">
        <f t="shared" si="4"/>
        <v>999.98023460000002</v>
      </c>
      <c r="K282" s="15" t="s">
        <v>16</v>
      </c>
      <c r="L282" s="13"/>
      <c r="M282" s="13"/>
      <c r="N282" s="14"/>
    </row>
    <row r="283" spans="1:14" x14ac:dyDescent="0.35">
      <c r="A283" s="16" t="s">
        <v>33</v>
      </c>
      <c r="B283" s="13" t="s">
        <v>25</v>
      </c>
      <c r="C283" s="12">
        <v>43728</v>
      </c>
      <c r="D283" s="8">
        <v>1900.5050000000001</v>
      </c>
      <c r="E283" s="8">
        <v>26.308800000000002</v>
      </c>
      <c r="F283" s="13"/>
      <c r="G283" s="13" t="s">
        <v>31</v>
      </c>
      <c r="H283" s="13" t="s">
        <v>14</v>
      </c>
      <c r="I283" s="13" t="s">
        <v>26</v>
      </c>
      <c r="J283" s="17">
        <f t="shared" si="4"/>
        <v>50000.005944000004</v>
      </c>
      <c r="K283" s="15" t="s">
        <v>32</v>
      </c>
      <c r="L283" s="13"/>
      <c r="M283" s="13"/>
      <c r="N283" s="14"/>
    </row>
    <row r="284" spans="1:14" x14ac:dyDescent="0.35">
      <c r="A284" s="16" t="s">
        <v>27</v>
      </c>
      <c r="B284" s="13" t="s">
        <v>28</v>
      </c>
      <c r="C284" s="12">
        <v>43731</v>
      </c>
      <c r="D284" s="8">
        <v>303.95100000000002</v>
      </c>
      <c r="E284" s="8">
        <v>98.7</v>
      </c>
      <c r="F284" s="13"/>
      <c r="G284" s="13" t="s">
        <v>13</v>
      </c>
      <c r="H284" s="13" t="s">
        <v>29</v>
      </c>
      <c r="I284" s="13" t="s">
        <v>30</v>
      </c>
      <c r="J284" s="17">
        <f t="shared" si="4"/>
        <v>29999.963700000004</v>
      </c>
      <c r="K284" s="15" t="s">
        <v>16</v>
      </c>
      <c r="L284" s="13"/>
      <c r="M284" s="13"/>
      <c r="N284" s="14"/>
    </row>
    <row r="285" spans="1:14" x14ac:dyDescent="0.35">
      <c r="A285" s="16" t="s">
        <v>24</v>
      </c>
      <c r="B285" s="13" t="s">
        <v>25</v>
      </c>
      <c r="C285" s="12">
        <v>43731</v>
      </c>
      <c r="D285" s="8">
        <v>7251.6589999999997</v>
      </c>
      <c r="E285" s="8">
        <v>26.8904</v>
      </c>
      <c r="F285" s="13"/>
      <c r="G285" s="13" t="s">
        <v>13</v>
      </c>
      <c r="H285" s="13" t="s">
        <v>14</v>
      </c>
      <c r="I285" s="13" t="s">
        <v>26</v>
      </c>
      <c r="J285" s="17">
        <f t="shared" si="4"/>
        <v>195000.01117359998</v>
      </c>
      <c r="K285" s="15" t="s">
        <v>16</v>
      </c>
      <c r="L285" s="13"/>
      <c r="M285" s="13"/>
      <c r="N285" s="14"/>
    </row>
    <row r="286" spans="1:14" x14ac:dyDescent="0.35">
      <c r="A286" s="16" t="s">
        <v>33</v>
      </c>
      <c r="B286" s="13" t="s">
        <v>25</v>
      </c>
      <c r="C286" s="12">
        <v>43731</v>
      </c>
      <c r="D286" s="8">
        <v>1859.4</v>
      </c>
      <c r="E286" s="8">
        <v>26.8904</v>
      </c>
      <c r="F286" s="13"/>
      <c r="G286" s="13" t="s">
        <v>31</v>
      </c>
      <c r="H286" s="13" t="s">
        <v>14</v>
      </c>
      <c r="I286" s="13" t="s">
        <v>26</v>
      </c>
      <c r="J286" s="17">
        <f t="shared" si="4"/>
        <v>50000.009760000001</v>
      </c>
      <c r="K286" s="15" t="s">
        <v>32</v>
      </c>
      <c r="L286" s="13"/>
      <c r="M286" s="13"/>
      <c r="N286" s="14"/>
    </row>
    <row r="287" spans="1:14" x14ac:dyDescent="0.35">
      <c r="A287" s="16" t="s">
        <v>24</v>
      </c>
      <c r="B287" s="13" t="s">
        <v>25</v>
      </c>
      <c r="C287" s="12">
        <v>43733</v>
      </c>
      <c r="D287" s="8">
        <v>2039.09</v>
      </c>
      <c r="E287" s="8">
        <v>26.482399999999998</v>
      </c>
      <c r="F287" s="13"/>
      <c r="G287" s="13" t="s">
        <v>13</v>
      </c>
      <c r="H287" s="13" t="s">
        <v>14</v>
      </c>
      <c r="I287" s="13" t="s">
        <v>26</v>
      </c>
      <c r="J287" s="17">
        <f t="shared" si="4"/>
        <v>53999.997015999994</v>
      </c>
      <c r="K287" s="15" t="s">
        <v>16</v>
      </c>
      <c r="L287" s="13"/>
      <c r="M287" s="13"/>
      <c r="N287" s="14"/>
    </row>
    <row r="288" spans="1:14" x14ac:dyDescent="0.35">
      <c r="A288" s="16" t="s">
        <v>24</v>
      </c>
      <c r="B288" s="13" t="s">
        <v>25</v>
      </c>
      <c r="C288" s="12">
        <v>43735</v>
      </c>
      <c r="D288" s="8">
        <v>2074.665</v>
      </c>
      <c r="E288" s="8">
        <v>26.510300000000001</v>
      </c>
      <c r="F288" s="13"/>
      <c r="G288" s="13" t="s">
        <v>13</v>
      </c>
      <c r="H288" s="13" t="s">
        <v>14</v>
      </c>
      <c r="I288" s="13" t="s">
        <v>26</v>
      </c>
      <c r="J288" s="17">
        <f t="shared" si="4"/>
        <v>54999.991549500002</v>
      </c>
      <c r="K288" s="15" t="s">
        <v>16</v>
      </c>
      <c r="L288" s="13"/>
      <c r="M288" s="13"/>
      <c r="N288" s="14"/>
    </row>
    <row r="289" spans="1:14" x14ac:dyDescent="0.35">
      <c r="A289" s="16" t="s">
        <v>11</v>
      </c>
      <c r="B289" s="13" t="s">
        <v>12</v>
      </c>
      <c r="C289" s="12">
        <v>43735</v>
      </c>
      <c r="D289" s="8">
        <v>23.481000000000002</v>
      </c>
      <c r="E289" s="8">
        <v>42.587400000000002</v>
      </c>
      <c r="F289" s="13"/>
      <c r="G289" s="13" t="s">
        <v>13</v>
      </c>
      <c r="H289" s="13" t="s">
        <v>14</v>
      </c>
      <c r="I289" s="13" t="s">
        <v>15</v>
      </c>
      <c r="J289" s="17">
        <f t="shared" si="4"/>
        <v>999.99473940000007</v>
      </c>
      <c r="K289" s="15" t="s">
        <v>16</v>
      </c>
      <c r="L289" s="13"/>
      <c r="M289" s="13"/>
      <c r="N289" s="14"/>
    </row>
    <row r="290" spans="1:14" x14ac:dyDescent="0.35">
      <c r="A290" s="16" t="s">
        <v>20</v>
      </c>
      <c r="B290" s="13" t="s">
        <v>21</v>
      </c>
      <c r="C290" s="12">
        <v>43735</v>
      </c>
      <c r="D290" s="8">
        <v>30.047000000000001</v>
      </c>
      <c r="E290" s="8">
        <v>33.281199999999998</v>
      </c>
      <c r="F290" s="13"/>
      <c r="G290" s="13" t="s">
        <v>13</v>
      </c>
      <c r="H290" s="13" t="s">
        <v>22</v>
      </c>
      <c r="I290" s="13" t="s">
        <v>23</v>
      </c>
      <c r="J290" s="17">
        <f t="shared" si="4"/>
        <v>1000.0002164</v>
      </c>
      <c r="K290" s="15" t="s">
        <v>16</v>
      </c>
      <c r="L290" s="13"/>
      <c r="M290" s="13"/>
      <c r="N290" s="14"/>
    </row>
    <row r="291" spans="1:14" x14ac:dyDescent="0.35">
      <c r="A291" s="16" t="s">
        <v>24</v>
      </c>
      <c r="B291" s="13" t="s">
        <v>25</v>
      </c>
      <c r="C291" s="12">
        <v>43738</v>
      </c>
      <c r="D291" s="8">
        <v>3608.5859999999998</v>
      </c>
      <c r="E291" s="8">
        <v>26.3261</v>
      </c>
      <c r="F291" s="13"/>
      <c r="G291" s="13" t="s">
        <v>13</v>
      </c>
      <c r="H291" s="13" t="s">
        <v>14</v>
      </c>
      <c r="I291" s="13" t="s">
        <v>26</v>
      </c>
      <c r="J291" s="17">
        <f t="shared" si="4"/>
        <v>94999.995894599997</v>
      </c>
      <c r="K291" s="15" t="s">
        <v>16</v>
      </c>
      <c r="L291" s="13"/>
      <c r="M291" s="13"/>
      <c r="N291" s="14"/>
    </row>
    <row r="292" spans="1:14" x14ac:dyDescent="0.35">
      <c r="A292" s="16" t="s">
        <v>11</v>
      </c>
      <c r="B292" s="13" t="s">
        <v>12</v>
      </c>
      <c r="C292" s="12">
        <v>43738</v>
      </c>
      <c r="D292" s="8">
        <v>47.148000000000003</v>
      </c>
      <c r="E292" s="8">
        <v>42.419199999999996</v>
      </c>
      <c r="F292" s="13"/>
      <c r="G292" s="13" t="s">
        <v>13</v>
      </c>
      <c r="H292" s="13" t="s">
        <v>14</v>
      </c>
      <c r="I292" s="13" t="s">
        <v>15</v>
      </c>
      <c r="J292" s="17">
        <f t="shared" si="4"/>
        <v>1999.9804415999999</v>
      </c>
      <c r="K292" s="15" t="s">
        <v>16</v>
      </c>
      <c r="L292" s="13"/>
      <c r="M292" s="13"/>
      <c r="N292" s="14"/>
    </row>
    <row r="293" spans="1:14" x14ac:dyDescent="0.35">
      <c r="A293" s="16" t="s">
        <v>20</v>
      </c>
      <c r="B293" s="13" t="s">
        <v>21</v>
      </c>
      <c r="C293" s="12">
        <v>43738</v>
      </c>
      <c r="D293" s="8">
        <v>60.378</v>
      </c>
      <c r="E293" s="8">
        <v>33.124899999999997</v>
      </c>
      <c r="F293" s="13"/>
      <c r="G293" s="13" t="s">
        <v>13</v>
      </c>
      <c r="H293" s="13" t="s">
        <v>22</v>
      </c>
      <c r="I293" s="13" t="s">
        <v>23</v>
      </c>
      <c r="J293" s="17">
        <f t="shared" si="4"/>
        <v>2000.0152121999997</v>
      </c>
      <c r="K293" s="15" t="s">
        <v>16</v>
      </c>
      <c r="L293" s="13"/>
      <c r="M293" s="13"/>
      <c r="N293" s="14"/>
    </row>
    <row r="294" spans="1:14" x14ac:dyDescent="0.35">
      <c r="A294" s="16" t="s">
        <v>24</v>
      </c>
      <c r="B294" s="13" t="s">
        <v>25</v>
      </c>
      <c r="C294" s="12">
        <v>43739</v>
      </c>
      <c r="D294" s="8">
        <v>5908.9040000000005</v>
      </c>
      <c r="E294" s="8">
        <v>26.2316</v>
      </c>
      <c r="F294" s="13"/>
      <c r="G294" s="13" t="s">
        <v>13</v>
      </c>
      <c r="H294" s="13" t="s">
        <v>14</v>
      </c>
      <c r="I294" s="13" t="s">
        <v>26</v>
      </c>
      <c r="J294" s="17">
        <f t="shared" si="4"/>
        <v>155000.00616640001</v>
      </c>
      <c r="K294" s="15" t="s">
        <v>16</v>
      </c>
      <c r="L294" s="13"/>
      <c r="M294" s="13"/>
      <c r="N294" s="14"/>
    </row>
    <row r="295" spans="1:14" x14ac:dyDescent="0.35">
      <c r="A295" s="16" t="s">
        <v>11</v>
      </c>
      <c r="B295" s="13" t="s">
        <v>12</v>
      </c>
      <c r="C295" s="12">
        <v>43739</v>
      </c>
      <c r="D295" s="8">
        <v>23.795000000000002</v>
      </c>
      <c r="E295" s="8">
        <v>42.024799999999999</v>
      </c>
      <c r="F295" s="13"/>
      <c r="G295" s="13" t="s">
        <v>13</v>
      </c>
      <c r="H295" s="13" t="s">
        <v>14</v>
      </c>
      <c r="I295" s="13" t="s">
        <v>15</v>
      </c>
      <c r="J295" s="17">
        <f t="shared" si="4"/>
        <v>999.98011600000007</v>
      </c>
      <c r="K295" s="15" t="s">
        <v>16</v>
      </c>
      <c r="L295" s="13"/>
      <c r="M295" s="13"/>
      <c r="N295" s="14"/>
    </row>
    <row r="296" spans="1:14" x14ac:dyDescent="0.35">
      <c r="A296" s="16" t="s">
        <v>20</v>
      </c>
      <c r="B296" s="13" t="s">
        <v>21</v>
      </c>
      <c r="C296" s="12">
        <v>43739</v>
      </c>
      <c r="D296" s="8">
        <v>30.363</v>
      </c>
      <c r="E296" s="8">
        <v>32.934399999999997</v>
      </c>
      <c r="F296" s="13"/>
      <c r="G296" s="13" t="s">
        <v>13</v>
      </c>
      <c r="H296" s="13" t="s">
        <v>22</v>
      </c>
      <c r="I296" s="13" t="s">
        <v>23</v>
      </c>
      <c r="J296" s="17">
        <f t="shared" si="4"/>
        <v>999.98718719999988</v>
      </c>
      <c r="K296" s="15" t="s">
        <v>16</v>
      </c>
      <c r="L296" s="13"/>
      <c r="M296" s="13"/>
      <c r="N296" s="14"/>
    </row>
    <row r="297" spans="1:14" x14ac:dyDescent="0.35">
      <c r="A297" s="16">
        <v>18917658</v>
      </c>
      <c r="B297" s="13" t="s">
        <v>12</v>
      </c>
      <c r="C297" s="12">
        <v>43739</v>
      </c>
      <c r="D297" s="8">
        <v>23.795000000000002</v>
      </c>
      <c r="E297" s="8">
        <v>42.024799999999999</v>
      </c>
      <c r="F297" s="13"/>
      <c r="G297" s="13" t="s">
        <v>31</v>
      </c>
      <c r="H297" s="13" t="s">
        <v>14</v>
      </c>
      <c r="I297" s="13" t="s">
        <v>15</v>
      </c>
      <c r="J297" s="17">
        <f t="shared" si="4"/>
        <v>999.98011600000007</v>
      </c>
      <c r="K297" s="15" t="s">
        <v>32</v>
      </c>
      <c r="L297" s="13"/>
      <c r="M297" s="13"/>
      <c r="N297" s="14"/>
    </row>
    <row r="298" spans="1:14" x14ac:dyDescent="0.35">
      <c r="A298" s="16" t="s">
        <v>24</v>
      </c>
      <c r="B298" s="13" t="s">
        <v>25</v>
      </c>
      <c r="C298" s="12">
        <v>43742</v>
      </c>
      <c r="D298" s="8">
        <v>1746.2909999999999</v>
      </c>
      <c r="E298" s="8">
        <v>25.768899999999999</v>
      </c>
      <c r="F298" s="13"/>
      <c r="G298" s="13" t="s">
        <v>13</v>
      </c>
      <c r="H298" s="13" t="s">
        <v>14</v>
      </c>
      <c r="I298" s="13" t="s">
        <v>26</v>
      </c>
      <c r="J298" s="17">
        <f t="shared" si="4"/>
        <v>44999.998149899999</v>
      </c>
      <c r="K298" s="15" t="s">
        <v>16</v>
      </c>
      <c r="L298" s="13"/>
      <c r="M298" s="13"/>
      <c r="N298" s="14"/>
    </row>
    <row r="299" spans="1:14" x14ac:dyDescent="0.35">
      <c r="A299" s="16" t="s">
        <v>11</v>
      </c>
      <c r="B299" s="13" t="s">
        <v>12</v>
      </c>
      <c r="C299" s="12">
        <v>43742</v>
      </c>
      <c r="D299" s="8">
        <v>24.204999999999998</v>
      </c>
      <c r="E299" s="8">
        <v>41.313600000000001</v>
      </c>
      <c r="F299" s="13"/>
      <c r="G299" s="13" t="s">
        <v>13</v>
      </c>
      <c r="H299" s="13" t="s">
        <v>14</v>
      </c>
      <c r="I299" s="13" t="s">
        <v>15</v>
      </c>
      <c r="J299" s="17">
        <f t="shared" si="4"/>
        <v>999.99568799999997</v>
      </c>
      <c r="K299" s="15" t="s">
        <v>16</v>
      </c>
      <c r="L299" s="13"/>
      <c r="M299" s="13"/>
      <c r="N299" s="14"/>
    </row>
    <row r="300" spans="1:14" x14ac:dyDescent="0.35">
      <c r="A300" s="16" t="s">
        <v>20</v>
      </c>
      <c r="B300" s="13" t="s">
        <v>21</v>
      </c>
      <c r="C300" s="12">
        <v>43742</v>
      </c>
      <c r="D300" s="8">
        <v>31.053000000000001</v>
      </c>
      <c r="E300" s="8">
        <v>32.202500000000001</v>
      </c>
      <c r="F300" s="13"/>
      <c r="G300" s="13" t="s">
        <v>13</v>
      </c>
      <c r="H300" s="13" t="s">
        <v>22</v>
      </c>
      <c r="I300" s="13" t="s">
        <v>23</v>
      </c>
      <c r="J300" s="17">
        <f t="shared" si="4"/>
        <v>999.98423250000008</v>
      </c>
      <c r="K300" s="15" t="s">
        <v>16</v>
      </c>
      <c r="L300" s="13"/>
      <c r="M300" s="13"/>
      <c r="N300" s="14"/>
    </row>
    <row r="301" spans="1:14" x14ac:dyDescent="0.35">
      <c r="A301" s="16" t="s">
        <v>17</v>
      </c>
      <c r="B301" s="13" t="s">
        <v>18</v>
      </c>
      <c r="C301" s="12">
        <v>43748</v>
      </c>
      <c r="D301" s="8">
        <v>77.605000000000004</v>
      </c>
      <c r="E301" s="8">
        <v>38.657400000000003</v>
      </c>
      <c r="F301" s="13"/>
      <c r="G301" s="13" t="s">
        <v>13</v>
      </c>
      <c r="H301" s="13"/>
      <c r="I301" s="13" t="s">
        <v>19</v>
      </c>
      <c r="J301" s="17">
        <f t="shared" si="4"/>
        <v>3000.0075270000002</v>
      </c>
      <c r="K301" s="15" t="s">
        <v>16</v>
      </c>
      <c r="L301" s="13"/>
      <c r="M301" s="13"/>
      <c r="N301" s="14"/>
    </row>
    <row r="302" spans="1:14" x14ac:dyDescent="0.35">
      <c r="A302" s="16" t="s">
        <v>24</v>
      </c>
      <c r="B302" s="13" t="s">
        <v>25</v>
      </c>
      <c r="C302" s="12">
        <v>43748</v>
      </c>
      <c r="D302" s="8">
        <v>967.71699999999998</v>
      </c>
      <c r="E302" s="8">
        <v>25.834</v>
      </c>
      <c r="F302" s="13"/>
      <c r="G302" s="13" t="s">
        <v>13</v>
      </c>
      <c r="H302" s="13" t="s">
        <v>14</v>
      </c>
      <c r="I302" s="13" t="s">
        <v>26</v>
      </c>
      <c r="J302" s="17">
        <f t="shared" si="4"/>
        <v>25000.000978</v>
      </c>
      <c r="K302" s="15" t="s">
        <v>16</v>
      </c>
      <c r="L302" s="13"/>
      <c r="M302" s="13"/>
      <c r="N302" s="14"/>
    </row>
    <row r="303" spans="1:14" x14ac:dyDescent="0.35">
      <c r="A303" s="16" t="s">
        <v>24</v>
      </c>
      <c r="B303" s="13" t="s">
        <v>25</v>
      </c>
      <c r="C303" s="12">
        <v>43776</v>
      </c>
      <c r="D303" s="8">
        <v>1272.2</v>
      </c>
      <c r="E303" s="8">
        <v>27.511399999999998</v>
      </c>
      <c r="F303" s="13"/>
      <c r="G303" s="13" t="s">
        <v>13</v>
      </c>
      <c r="H303" s="13" t="s">
        <v>14</v>
      </c>
      <c r="I303" s="13" t="s">
        <v>26</v>
      </c>
      <c r="J303" s="17">
        <f t="shared" si="4"/>
        <v>35000.003080000002</v>
      </c>
      <c r="K303" s="15" t="s">
        <v>16</v>
      </c>
      <c r="L303" s="13"/>
      <c r="M303" s="13"/>
      <c r="N303" s="14"/>
    </row>
    <row r="304" spans="1:14" x14ac:dyDescent="0.35">
      <c r="A304" s="16" t="s">
        <v>11</v>
      </c>
      <c r="B304" s="13" t="s">
        <v>12</v>
      </c>
      <c r="C304" s="12">
        <v>43776</v>
      </c>
      <c r="D304" s="8">
        <v>56.860999999999997</v>
      </c>
      <c r="E304" s="8">
        <v>43.966700000000003</v>
      </c>
      <c r="F304" s="13"/>
      <c r="G304" s="13" t="s">
        <v>13</v>
      </c>
      <c r="H304" s="13" t="s">
        <v>14</v>
      </c>
      <c r="I304" s="13" t="s">
        <v>15</v>
      </c>
      <c r="J304" s="17">
        <f t="shared" si="4"/>
        <v>2499.9905287000001</v>
      </c>
      <c r="K304" s="15" t="s">
        <v>16</v>
      </c>
      <c r="L304" s="13"/>
      <c r="M304" s="13"/>
      <c r="N304" s="14"/>
    </row>
    <row r="305" spans="1:14" x14ac:dyDescent="0.35">
      <c r="A305" s="16" t="s">
        <v>20</v>
      </c>
      <c r="B305" s="13" t="s">
        <v>21</v>
      </c>
      <c r="C305" s="12">
        <v>43776</v>
      </c>
      <c r="D305" s="8">
        <v>72.266000000000005</v>
      </c>
      <c r="E305" s="8">
        <v>34.5946</v>
      </c>
      <c r="F305" s="13"/>
      <c r="G305" s="13" t="s">
        <v>13</v>
      </c>
      <c r="H305" s="13" t="s">
        <v>22</v>
      </c>
      <c r="I305" s="13" t="s">
        <v>23</v>
      </c>
      <c r="J305" s="17">
        <f t="shared" si="4"/>
        <v>2500.0133636</v>
      </c>
      <c r="K305" s="15" t="s">
        <v>16</v>
      </c>
      <c r="L305" s="13"/>
      <c r="M305" s="13"/>
      <c r="N305" s="14"/>
    </row>
    <row r="306" spans="1:14" x14ac:dyDescent="0.35">
      <c r="A306" s="16">
        <v>18917658</v>
      </c>
      <c r="B306" s="13" t="s">
        <v>12</v>
      </c>
      <c r="C306" s="12">
        <v>43776</v>
      </c>
      <c r="D306" s="8">
        <v>45.488999999999997</v>
      </c>
      <c r="E306" s="8">
        <v>43.966700000000003</v>
      </c>
      <c r="F306" s="13"/>
      <c r="G306" s="13" t="s">
        <v>31</v>
      </c>
      <c r="H306" s="13" t="s">
        <v>14</v>
      </c>
      <c r="I306" s="13" t="s">
        <v>15</v>
      </c>
      <c r="J306" s="17">
        <f t="shared" si="4"/>
        <v>2000.0012163000001</v>
      </c>
      <c r="K306" s="15" t="s">
        <v>32</v>
      </c>
      <c r="L306" s="13"/>
      <c r="M306" s="13"/>
      <c r="N306" s="14"/>
    </row>
    <row r="307" spans="1:14" x14ac:dyDescent="0.35">
      <c r="A307" s="16" t="s">
        <v>24</v>
      </c>
      <c r="B307" s="13" t="s">
        <v>25</v>
      </c>
      <c r="C307" s="12">
        <v>43777</v>
      </c>
      <c r="D307" s="8">
        <v>182.18899999999999</v>
      </c>
      <c r="E307" s="8">
        <v>27.443999999999999</v>
      </c>
      <c r="F307" s="13"/>
      <c r="G307" s="13" t="s">
        <v>13</v>
      </c>
      <c r="H307" s="13" t="s">
        <v>14</v>
      </c>
      <c r="I307" s="13" t="s">
        <v>26</v>
      </c>
      <c r="J307" s="17">
        <f t="shared" si="4"/>
        <v>4999.9949159999996</v>
      </c>
      <c r="K307" s="15" t="s">
        <v>16</v>
      </c>
      <c r="L307" s="13"/>
      <c r="M307" s="13"/>
      <c r="N307" s="14"/>
    </row>
    <row r="308" spans="1:14" x14ac:dyDescent="0.35">
      <c r="A308" s="16" t="s">
        <v>11</v>
      </c>
      <c r="B308" s="13" t="s">
        <v>12</v>
      </c>
      <c r="C308" s="12">
        <v>43777</v>
      </c>
      <c r="D308" s="8">
        <v>57.206000000000003</v>
      </c>
      <c r="E308" s="8">
        <v>43.7014</v>
      </c>
      <c r="F308" s="13"/>
      <c r="G308" s="13" t="s">
        <v>13</v>
      </c>
      <c r="H308" s="13" t="s">
        <v>14</v>
      </c>
      <c r="I308" s="13" t="s">
        <v>15</v>
      </c>
      <c r="J308" s="17">
        <f t="shared" si="4"/>
        <v>2499.9822884</v>
      </c>
      <c r="K308" s="15" t="s">
        <v>16</v>
      </c>
      <c r="L308" s="13"/>
      <c r="M308" s="13"/>
      <c r="N308" s="14"/>
    </row>
    <row r="309" spans="1:14" x14ac:dyDescent="0.35">
      <c r="A309" s="16" t="s">
        <v>20</v>
      </c>
      <c r="B309" s="13" t="s">
        <v>21</v>
      </c>
      <c r="C309" s="12">
        <v>43777</v>
      </c>
      <c r="D309" s="8">
        <v>29.056999999999999</v>
      </c>
      <c r="E309" s="8">
        <v>34.415399999999998</v>
      </c>
      <c r="F309" s="13"/>
      <c r="G309" s="13" t="s">
        <v>13</v>
      </c>
      <c r="H309" s="13" t="s">
        <v>22</v>
      </c>
      <c r="I309" s="13" t="s">
        <v>23</v>
      </c>
      <c r="J309" s="17">
        <f t="shared" si="4"/>
        <v>1000.0082777999999</v>
      </c>
      <c r="K309" s="15" t="s">
        <v>16</v>
      </c>
      <c r="L309" s="13"/>
      <c r="M309" s="13"/>
      <c r="N309" s="14"/>
    </row>
    <row r="310" spans="1:14" x14ac:dyDescent="0.35">
      <c r="A310" s="16" t="s">
        <v>17</v>
      </c>
      <c r="B310" s="13" t="s">
        <v>18</v>
      </c>
      <c r="C310" s="12">
        <v>43780</v>
      </c>
      <c r="D310" s="8">
        <v>73.331999999999994</v>
      </c>
      <c r="E310" s="8">
        <v>40.9101</v>
      </c>
      <c r="F310" s="13"/>
      <c r="G310" s="13" t="s">
        <v>13</v>
      </c>
      <c r="H310" s="13"/>
      <c r="I310" s="13" t="s">
        <v>19</v>
      </c>
      <c r="J310" s="17">
        <f t="shared" si="4"/>
        <v>3000.0194531999996</v>
      </c>
      <c r="K310" s="15" t="s">
        <v>16</v>
      </c>
      <c r="L310" s="13"/>
      <c r="M310" s="13"/>
      <c r="N310" s="14"/>
    </row>
    <row r="311" spans="1:14" x14ac:dyDescent="0.35">
      <c r="A311" s="16" t="s">
        <v>24</v>
      </c>
      <c r="B311" s="13" t="s">
        <v>25</v>
      </c>
      <c r="C311" s="12">
        <v>43791</v>
      </c>
      <c r="D311" s="8">
        <v>183.035</v>
      </c>
      <c r="E311" s="8">
        <v>27.3172</v>
      </c>
      <c r="F311" s="13"/>
      <c r="G311" s="13" t="s">
        <v>13</v>
      </c>
      <c r="H311" s="13" t="s">
        <v>14</v>
      </c>
      <c r="I311" s="13" t="s">
        <v>26</v>
      </c>
      <c r="J311" s="17">
        <f t="shared" si="4"/>
        <v>5000.003702</v>
      </c>
      <c r="K311" s="15" t="s">
        <v>16</v>
      </c>
      <c r="L311" s="13"/>
      <c r="M311" s="13"/>
      <c r="N311" s="14"/>
    </row>
    <row r="312" spans="1:14" x14ac:dyDescent="0.35">
      <c r="A312" s="16" t="s">
        <v>20</v>
      </c>
      <c r="B312" s="13" t="s">
        <v>21</v>
      </c>
      <c r="C312" s="12">
        <v>43791</v>
      </c>
      <c r="D312" s="8">
        <v>43.786999999999999</v>
      </c>
      <c r="E312" s="8">
        <v>34.256999999999998</v>
      </c>
      <c r="F312" s="13"/>
      <c r="G312" s="13" t="s">
        <v>13</v>
      </c>
      <c r="H312" s="13" t="s">
        <v>22</v>
      </c>
      <c r="I312" s="13" t="s">
        <v>23</v>
      </c>
      <c r="J312" s="17">
        <f t="shared" si="4"/>
        <v>1500.0112589999999</v>
      </c>
      <c r="K312" s="15" t="s">
        <v>16</v>
      </c>
      <c r="L312" s="13"/>
      <c r="M312" s="13"/>
      <c r="N312" s="14"/>
    </row>
    <row r="313" spans="1:14" x14ac:dyDescent="0.35">
      <c r="A313" s="16" t="s">
        <v>24</v>
      </c>
      <c r="B313" s="13" t="s">
        <v>25</v>
      </c>
      <c r="C313" s="12">
        <v>43798</v>
      </c>
      <c r="D313" s="8">
        <v>724.83699999999999</v>
      </c>
      <c r="E313" s="8">
        <v>27.592400000000001</v>
      </c>
      <c r="F313" s="13"/>
      <c r="G313" s="13" t="s">
        <v>13</v>
      </c>
      <c r="H313" s="13" t="s">
        <v>14</v>
      </c>
      <c r="I313" s="13" t="s">
        <v>26</v>
      </c>
      <c r="J313" s="17">
        <f t="shared" si="4"/>
        <v>19999.9924388</v>
      </c>
      <c r="K313" s="15" t="s">
        <v>16</v>
      </c>
      <c r="L313" s="13"/>
      <c r="M313" s="13"/>
      <c r="N313" s="14"/>
    </row>
    <row r="314" spans="1:14" x14ac:dyDescent="0.35">
      <c r="A314" s="16" t="s">
        <v>11</v>
      </c>
      <c r="B314" s="13" t="s">
        <v>12</v>
      </c>
      <c r="C314" s="12">
        <v>43798</v>
      </c>
      <c r="D314" s="8">
        <v>22.763000000000002</v>
      </c>
      <c r="E314" s="8">
        <v>43.931199999999997</v>
      </c>
      <c r="F314" s="13"/>
      <c r="G314" s="13" t="s">
        <v>13</v>
      </c>
      <c r="H314" s="13" t="s">
        <v>14</v>
      </c>
      <c r="I314" s="13" t="s">
        <v>15</v>
      </c>
      <c r="J314" s="17">
        <f t="shared" si="4"/>
        <v>1000.0059056</v>
      </c>
      <c r="K314" s="15" t="s">
        <v>16</v>
      </c>
      <c r="L314" s="13"/>
      <c r="M314" s="13"/>
      <c r="N314" s="14"/>
    </row>
    <row r="315" spans="1:14" x14ac:dyDescent="0.35">
      <c r="A315" s="16" t="s">
        <v>20</v>
      </c>
      <c r="B315" s="13" t="s">
        <v>21</v>
      </c>
      <c r="C315" s="12">
        <v>43798</v>
      </c>
      <c r="D315" s="8">
        <v>28.88</v>
      </c>
      <c r="E315" s="8">
        <v>34.625900000000001</v>
      </c>
      <c r="F315" s="13"/>
      <c r="G315" s="13" t="s">
        <v>13</v>
      </c>
      <c r="H315" s="13" t="s">
        <v>22</v>
      </c>
      <c r="I315" s="13" t="s">
        <v>23</v>
      </c>
      <c r="J315" s="17">
        <f t="shared" si="4"/>
        <v>999.995992</v>
      </c>
      <c r="K315" s="15" t="s">
        <v>16</v>
      </c>
      <c r="L315" s="13"/>
      <c r="M315" s="13"/>
      <c r="N315" s="14"/>
    </row>
    <row r="316" spans="1:14" x14ac:dyDescent="0.35">
      <c r="A316" s="16" t="s">
        <v>24</v>
      </c>
      <c r="B316" s="13" t="s">
        <v>25</v>
      </c>
      <c r="C316" s="12">
        <v>43802</v>
      </c>
      <c r="D316" s="8">
        <v>183.709</v>
      </c>
      <c r="E316" s="8">
        <v>27.216899999999999</v>
      </c>
      <c r="F316" s="13"/>
      <c r="G316" s="13" t="s">
        <v>13</v>
      </c>
      <c r="H316" s="13" t="s">
        <v>14</v>
      </c>
      <c r="I316" s="13" t="s">
        <v>26</v>
      </c>
      <c r="J316" s="17">
        <f t="shared" si="4"/>
        <v>4999.9894820999998</v>
      </c>
      <c r="K316" s="15" t="s">
        <v>16</v>
      </c>
      <c r="L316" s="13"/>
      <c r="M316" s="13"/>
      <c r="N316" s="14"/>
    </row>
    <row r="317" spans="1:14" x14ac:dyDescent="0.35">
      <c r="A317" s="16" t="s">
        <v>11</v>
      </c>
      <c r="B317" s="13" t="s">
        <v>12</v>
      </c>
      <c r="C317" s="12">
        <v>43802</v>
      </c>
      <c r="D317" s="8">
        <v>22.914999999999999</v>
      </c>
      <c r="E317" s="8">
        <v>43.639299999999999</v>
      </c>
      <c r="F317" s="13"/>
      <c r="G317" s="13" t="s">
        <v>13</v>
      </c>
      <c r="H317" s="13" t="s">
        <v>14</v>
      </c>
      <c r="I317" s="13" t="s">
        <v>15</v>
      </c>
      <c r="J317" s="17">
        <f t="shared" si="4"/>
        <v>999.99455949999992</v>
      </c>
      <c r="K317" s="15" t="s">
        <v>16</v>
      </c>
      <c r="L317" s="13"/>
      <c r="M317" s="13"/>
      <c r="N317" s="14"/>
    </row>
    <row r="318" spans="1:14" x14ac:dyDescent="0.35">
      <c r="A318" s="16" t="s">
        <v>20</v>
      </c>
      <c r="B318" s="13" t="s">
        <v>21</v>
      </c>
      <c r="C318" s="12">
        <v>43802</v>
      </c>
      <c r="D318" s="8">
        <v>28.948</v>
      </c>
      <c r="E318" s="8">
        <v>34.544600000000003</v>
      </c>
      <c r="F318" s="13"/>
      <c r="G318" s="13" t="s">
        <v>13</v>
      </c>
      <c r="H318" s="13" t="s">
        <v>22</v>
      </c>
      <c r="I318" s="13" t="s">
        <v>23</v>
      </c>
      <c r="J318" s="17">
        <f t="shared" si="4"/>
        <v>999.99708080000005</v>
      </c>
      <c r="K318" s="15" t="s">
        <v>16</v>
      </c>
      <c r="L318" s="13"/>
      <c r="M318" s="13"/>
      <c r="N318" s="14"/>
    </row>
    <row r="319" spans="1:14" x14ac:dyDescent="0.35">
      <c r="A319" s="16">
        <v>18917658</v>
      </c>
      <c r="B319" s="13" t="s">
        <v>12</v>
      </c>
      <c r="C319" s="12">
        <v>43802</v>
      </c>
      <c r="D319" s="8">
        <v>45.83</v>
      </c>
      <c r="E319" s="8">
        <v>43.639299999999999</v>
      </c>
      <c r="F319" s="13"/>
      <c r="G319" s="13" t="s">
        <v>31</v>
      </c>
      <c r="H319" s="13" t="s">
        <v>14</v>
      </c>
      <c r="I319" s="13" t="s">
        <v>15</v>
      </c>
      <c r="J319" s="17">
        <f t="shared" si="4"/>
        <v>1999.9891189999998</v>
      </c>
      <c r="K319" s="15" t="s">
        <v>32</v>
      </c>
      <c r="L319" s="13"/>
      <c r="M319" s="13"/>
      <c r="N319" s="14"/>
    </row>
    <row r="320" spans="1:14" x14ac:dyDescent="0.35">
      <c r="A320" s="16" t="s">
        <v>24</v>
      </c>
      <c r="B320" s="13" t="s">
        <v>25</v>
      </c>
      <c r="C320" s="12">
        <v>43803</v>
      </c>
      <c r="D320" s="8">
        <v>731.74599999999998</v>
      </c>
      <c r="E320" s="8">
        <v>27.331900000000001</v>
      </c>
      <c r="F320" s="13"/>
      <c r="G320" s="13" t="s">
        <v>13</v>
      </c>
      <c r="H320" s="13" t="s">
        <v>14</v>
      </c>
      <c r="I320" s="13" t="s">
        <v>26</v>
      </c>
      <c r="J320" s="17">
        <f t="shared" si="4"/>
        <v>20000.008497400002</v>
      </c>
      <c r="K320" s="15" t="s">
        <v>16</v>
      </c>
      <c r="L320" s="13"/>
      <c r="M320" s="13"/>
      <c r="N320" s="14"/>
    </row>
    <row r="321" spans="1:14" x14ac:dyDescent="0.35">
      <c r="A321" s="16" t="s">
        <v>11</v>
      </c>
      <c r="B321" s="13" t="s">
        <v>12</v>
      </c>
      <c r="C321" s="12">
        <v>43803</v>
      </c>
      <c r="D321" s="8">
        <v>22.856000000000002</v>
      </c>
      <c r="E321" s="8">
        <v>43.752400000000002</v>
      </c>
      <c r="F321" s="13"/>
      <c r="G321" s="13" t="s">
        <v>13</v>
      </c>
      <c r="H321" s="13" t="s">
        <v>14</v>
      </c>
      <c r="I321" s="13" t="s">
        <v>15</v>
      </c>
      <c r="J321" s="17">
        <f t="shared" si="4"/>
        <v>1000.0048544000001</v>
      </c>
      <c r="K321" s="15" t="s">
        <v>16</v>
      </c>
      <c r="L321" s="13"/>
      <c r="M321" s="13"/>
      <c r="N321" s="14"/>
    </row>
    <row r="322" spans="1:14" x14ac:dyDescent="0.35">
      <c r="A322" s="16" t="s">
        <v>20</v>
      </c>
      <c r="B322" s="13" t="s">
        <v>21</v>
      </c>
      <c r="C322" s="12">
        <v>43803</v>
      </c>
      <c r="D322" s="8">
        <v>28.899000000000001</v>
      </c>
      <c r="E322" s="8">
        <v>34.6038</v>
      </c>
      <c r="F322" s="13"/>
      <c r="G322" s="13" t="s">
        <v>13</v>
      </c>
      <c r="H322" s="13" t="s">
        <v>22</v>
      </c>
      <c r="I322" s="13" t="s">
        <v>23</v>
      </c>
      <c r="J322" s="17">
        <f t="shared" ref="J322:J385" si="5">D322*E322</f>
        <v>1000.0152162000001</v>
      </c>
      <c r="K322" s="15" t="s">
        <v>16</v>
      </c>
      <c r="L322" s="13"/>
      <c r="M322" s="13"/>
      <c r="N322" s="14"/>
    </row>
    <row r="323" spans="1:14" x14ac:dyDescent="0.35">
      <c r="A323" s="16" t="s">
        <v>17</v>
      </c>
      <c r="B323" s="13" t="s">
        <v>18</v>
      </c>
      <c r="C323" s="12">
        <v>43809</v>
      </c>
      <c r="D323" s="8">
        <v>75.709000000000003</v>
      </c>
      <c r="E323" s="8">
        <v>39.625399999999999</v>
      </c>
      <c r="F323" s="13"/>
      <c r="G323" s="13" t="s">
        <v>13</v>
      </c>
      <c r="H323" s="13"/>
      <c r="I323" s="13" t="s">
        <v>19</v>
      </c>
      <c r="J323" s="17">
        <f t="shared" si="5"/>
        <v>2999.9994086000002</v>
      </c>
      <c r="K323" s="15" t="s">
        <v>16</v>
      </c>
      <c r="L323" s="13"/>
      <c r="M323" s="13"/>
      <c r="N323" s="14"/>
    </row>
    <row r="324" spans="1:14" x14ac:dyDescent="0.35">
      <c r="A324" s="16" t="s">
        <v>24</v>
      </c>
      <c r="B324" s="13" t="s">
        <v>25</v>
      </c>
      <c r="C324" s="12">
        <v>43823</v>
      </c>
      <c r="D324" s="8">
        <v>180.322</v>
      </c>
      <c r="E324" s="8">
        <v>27.728200000000001</v>
      </c>
      <c r="F324" s="13"/>
      <c r="G324" s="13" t="s">
        <v>13</v>
      </c>
      <c r="H324" s="13" t="s">
        <v>14</v>
      </c>
      <c r="I324" s="13" t="s">
        <v>26</v>
      </c>
      <c r="J324" s="17">
        <f t="shared" si="5"/>
        <v>5000.0044803999999</v>
      </c>
      <c r="K324" s="15" t="s">
        <v>16</v>
      </c>
      <c r="L324" s="13"/>
      <c r="M324" s="13"/>
      <c r="N324" s="14"/>
    </row>
    <row r="325" spans="1:14" x14ac:dyDescent="0.35">
      <c r="A325" s="16" t="s">
        <v>11</v>
      </c>
      <c r="B325" s="13" t="s">
        <v>12</v>
      </c>
      <c r="C325" s="12">
        <v>43823</v>
      </c>
      <c r="D325" s="8">
        <v>22.602</v>
      </c>
      <c r="E325" s="8">
        <v>44.244199999999999</v>
      </c>
      <c r="F325" s="13"/>
      <c r="G325" s="13" t="s">
        <v>13</v>
      </c>
      <c r="H325" s="13" t="s">
        <v>14</v>
      </c>
      <c r="I325" s="13" t="s">
        <v>15</v>
      </c>
      <c r="J325" s="17">
        <f t="shared" si="5"/>
        <v>1000.0074084</v>
      </c>
      <c r="K325" s="15" t="s">
        <v>16</v>
      </c>
      <c r="L325" s="13"/>
      <c r="M325" s="13"/>
      <c r="N325" s="14"/>
    </row>
    <row r="326" spans="1:14" x14ac:dyDescent="0.35">
      <c r="A326" s="16" t="s">
        <v>20</v>
      </c>
      <c r="B326" s="13" t="s">
        <v>21</v>
      </c>
      <c r="C326" s="12">
        <v>43823</v>
      </c>
      <c r="D326" s="8">
        <v>28.672999999999998</v>
      </c>
      <c r="E326" s="8">
        <v>34.875500000000002</v>
      </c>
      <c r="F326" s="13"/>
      <c r="G326" s="13" t="s">
        <v>13</v>
      </c>
      <c r="H326" s="13" t="s">
        <v>22</v>
      </c>
      <c r="I326" s="13" t="s">
        <v>23</v>
      </c>
      <c r="J326" s="17">
        <f t="shared" si="5"/>
        <v>999.98521149999999</v>
      </c>
      <c r="K326" s="15" t="s">
        <v>16</v>
      </c>
      <c r="L326" s="13"/>
      <c r="M326" s="13"/>
      <c r="N326" s="14"/>
    </row>
    <row r="327" spans="1:14" x14ac:dyDescent="0.35">
      <c r="A327" s="16" t="s">
        <v>24</v>
      </c>
      <c r="B327" s="13" t="s">
        <v>25</v>
      </c>
      <c r="C327" s="12">
        <v>43829</v>
      </c>
      <c r="D327" s="8">
        <v>358.46300000000002</v>
      </c>
      <c r="E327" s="8">
        <v>27.896899999999999</v>
      </c>
      <c r="F327" s="13"/>
      <c r="G327" s="13" t="s">
        <v>13</v>
      </c>
      <c r="H327" s="13" t="s">
        <v>14</v>
      </c>
      <c r="I327" s="13" t="s">
        <v>26</v>
      </c>
      <c r="J327" s="17">
        <f t="shared" si="5"/>
        <v>10000.0064647</v>
      </c>
      <c r="K327" s="15" t="s">
        <v>16</v>
      </c>
      <c r="L327" s="13"/>
      <c r="M327" s="13"/>
      <c r="N327" s="14"/>
    </row>
    <row r="328" spans="1:14" x14ac:dyDescent="0.35">
      <c r="A328" s="16" t="s">
        <v>11</v>
      </c>
      <c r="B328" s="13" t="s">
        <v>12</v>
      </c>
      <c r="C328" s="12">
        <v>43829</v>
      </c>
      <c r="D328" s="8">
        <v>22.497</v>
      </c>
      <c r="E328" s="8">
        <v>44.45</v>
      </c>
      <c r="F328" s="13"/>
      <c r="G328" s="13" t="s">
        <v>13</v>
      </c>
      <c r="H328" s="13" t="s">
        <v>14</v>
      </c>
      <c r="I328" s="13" t="s">
        <v>15</v>
      </c>
      <c r="J328" s="17">
        <f t="shared" si="5"/>
        <v>999.99165000000005</v>
      </c>
      <c r="K328" s="15" t="s">
        <v>16</v>
      </c>
      <c r="L328" s="13"/>
      <c r="M328" s="13"/>
      <c r="N328" s="14"/>
    </row>
    <row r="329" spans="1:14" x14ac:dyDescent="0.35">
      <c r="A329" s="16" t="s">
        <v>20</v>
      </c>
      <c r="B329" s="13" t="s">
        <v>21</v>
      </c>
      <c r="C329" s="12">
        <v>43829</v>
      </c>
      <c r="D329" s="8">
        <v>28.568000000000001</v>
      </c>
      <c r="E329" s="8">
        <v>35.004399999999997</v>
      </c>
      <c r="F329" s="13"/>
      <c r="G329" s="13" t="s">
        <v>13</v>
      </c>
      <c r="H329" s="13" t="s">
        <v>22</v>
      </c>
      <c r="I329" s="13" t="s">
        <v>23</v>
      </c>
      <c r="J329" s="17">
        <f t="shared" si="5"/>
        <v>1000.0056992</v>
      </c>
      <c r="K329" s="15" t="s">
        <v>16</v>
      </c>
      <c r="L329" s="13"/>
      <c r="M329" s="13"/>
      <c r="N329" s="14"/>
    </row>
    <row r="330" spans="1:14" x14ac:dyDescent="0.35">
      <c r="A330" s="16" t="s">
        <v>24</v>
      </c>
      <c r="B330" s="13" t="s">
        <v>25</v>
      </c>
      <c r="C330" s="12">
        <v>43830</v>
      </c>
      <c r="D330" s="8">
        <v>720.83799999999997</v>
      </c>
      <c r="E330" s="8">
        <v>27.7455</v>
      </c>
      <c r="F330" s="13"/>
      <c r="G330" s="13" t="s">
        <v>13</v>
      </c>
      <c r="H330" s="13" t="s">
        <v>14</v>
      </c>
      <c r="I330" s="13" t="s">
        <v>26</v>
      </c>
      <c r="J330" s="17">
        <f t="shared" si="5"/>
        <v>20000.010728999998</v>
      </c>
      <c r="K330" s="15" t="s">
        <v>16</v>
      </c>
      <c r="L330" s="13"/>
      <c r="M330" s="13"/>
      <c r="N330" s="14"/>
    </row>
    <row r="331" spans="1:14" x14ac:dyDescent="0.35">
      <c r="A331" s="16" t="s">
        <v>24</v>
      </c>
      <c r="B331" s="13" t="s">
        <v>25</v>
      </c>
      <c r="C331" s="12">
        <v>43833</v>
      </c>
      <c r="D331" s="8">
        <v>357.40199999999999</v>
      </c>
      <c r="E331" s="8">
        <v>27.979700000000001</v>
      </c>
      <c r="F331" s="13"/>
      <c r="G331" s="13" t="s">
        <v>13</v>
      </c>
      <c r="H331" s="13" t="s">
        <v>14</v>
      </c>
      <c r="I331" s="13" t="s">
        <v>26</v>
      </c>
      <c r="J331" s="17">
        <f t="shared" si="5"/>
        <v>10000.0007394</v>
      </c>
      <c r="K331" s="15" t="s">
        <v>16</v>
      </c>
      <c r="L331" s="13"/>
      <c r="M331" s="13"/>
      <c r="N331" s="14"/>
    </row>
    <row r="332" spans="1:14" x14ac:dyDescent="0.35">
      <c r="A332" s="16" t="s">
        <v>11</v>
      </c>
      <c r="B332" s="13" t="s">
        <v>12</v>
      </c>
      <c r="C332" s="12">
        <v>43833</v>
      </c>
      <c r="D332" s="8">
        <v>45.073999999999998</v>
      </c>
      <c r="E332" s="8">
        <v>44.371299999999998</v>
      </c>
      <c r="F332" s="13"/>
      <c r="G332" s="13" t="s">
        <v>13</v>
      </c>
      <c r="H332" s="13" t="s">
        <v>14</v>
      </c>
      <c r="I332" s="13" t="s">
        <v>15</v>
      </c>
      <c r="J332" s="17">
        <f t="shared" si="5"/>
        <v>1999.9919761999997</v>
      </c>
      <c r="K332" s="15" t="s">
        <v>16</v>
      </c>
      <c r="L332" s="13"/>
      <c r="M332" s="13"/>
      <c r="N332" s="14"/>
    </row>
    <row r="333" spans="1:14" x14ac:dyDescent="0.35">
      <c r="A333" s="16" t="s">
        <v>20</v>
      </c>
      <c r="B333" s="13" t="s">
        <v>21</v>
      </c>
      <c r="C333" s="12">
        <v>43833</v>
      </c>
      <c r="D333" s="8">
        <v>57.35</v>
      </c>
      <c r="E333" s="8">
        <v>34.873399999999997</v>
      </c>
      <c r="F333" s="13"/>
      <c r="G333" s="13" t="s">
        <v>13</v>
      </c>
      <c r="H333" s="13" t="s">
        <v>22</v>
      </c>
      <c r="I333" s="13" t="s">
        <v>23</v>
      </c>
      <c r="J333" s="17">
        <f t="shared" si="5"/>
        <v>1999.9894899999999</v>
      </c>
      <c r="K333" s="15" t="s">
        <v>16</v>
      </c>
      <c r="L333" s="13"/>
      <c r="M333" s="13"/>
      <c r="N333" s="14"/>
    </row>
    <row r="334" spans="1:14" x14ac:dyDescent="0.35">
      <c r="A334" s="16">
        <v>18917658</v>
      </c>
      <c r="B334" s="13" t="s">
        <v>12</v>
      </c>
      <c r="C334" s="12">
        <v>43833</v>
      </c>
      <c r="D334" s="8">
        <v>45.073999999999998</v>
      </c>
      <c r="E334" s="8">
        <v>44.371299999999998</v>
      </c>
      <c r="F334" s="13"/>
      <c r="G334" s="13" t="s">
        <v>31</v>
      </c>
      <c r="H334" s="13" t="s">
        <v>14</v>
      </c>
      <c r="I334" s="13" t="s">
        <v>15</v>
      </c>
      <c r="J334" s="17">
        <f t="shared" si="5"/>
        <v>1999.9919761999997</v>
      </c>
      <c r="K334" s="15" t="s">
        <v>32</v>
      </c>
      <c r="L334" s="13"/>
      <c r="M334" s="13"/>
      <c r="N334" s="14"/>
    </row>
    <row r="335" spans="1:14" x14ac:dyDescent="0.35">
      <c r="A335" s="16" t="s">
        <v>17</v>
      </c>
      <c r="B335" s="13" t="s">
        <v>18</v>
      </c>
      <c r="C335" s="12">
        <v>43840</v>
      </c>
      <c r="D335" s="8">
        <v>70.108999999999995</v>
      </c>
      <c r="E335" s="8">
        <v>42.790399999999998</v>
      </c>
      <c r="F335" s="13"/>
      <c r="G335" s="13" t="s">
        <v>13</v>
      </c>
      <c r="H335" s="13"/>
      <c r="I335" s="13" t="s">
        <v>19</v>
      </c>
      <c r="J335" s="17">
        <f t="shared" si="5"/>
        <v>2999.9921535999997</v>
      </c>
      <c r="K335" s="15" t="s">
        <v>16</v>
      </c>
      <c r="L335" s="13"/>
      <c r="M335" s="13"/>
      <c r="N335" s="14"/>
    </row>
    <row r="336" spans="1:14" x14ac:dyDescent="0.35">
      <c r="A336" s="16" t="s">
        <v>24</v>
      </c>
      <c r="B336" s="13" t="s">
        <v>25</v>
      </c>
      <c r="C336" s="12">
        <v>43844</v>
      </c>
      <c r="D336" s="8">
        <v>353.541</v>
      </c>
      <c r="E336" s="8">
        <v>28.285299999999999</v>
      </c>
      <c r="F336" s="13"/>
      <c r="G336" s="13" t="s">
        <v>13</v>
      </c>
      <c r="H336" s="13" t="s">
        <v>14</v>
      </c>
      <c r="I336" s="13" t="s">
        <v>26</v>
      </c>
      <c r="J336" s="17">
        <f t="shared" si="5"/>
        <v>10000.013247299999</v>
      </c>
      <c r="K336" s="15" t="s">
        <v>16</v>
      </c>
      <c r="L336" s="13"/>
      <c r="M336" s="13"/>
      <c r="N336" s="14"/>
    </row>
    <row r="337" spans="1:14" x14ac:dyDescent="0.35">
      <c r="A337" s="16" t="s">
        <v>11</v>
      </c>
      <c r="B337" s="13" t="s">
        <v>12</v>
      </c>
      <c r="C337" s="12">
        <v>43844</v>
      </c>
      <c r="D337" s="8">
        <v>33.408000000000001</v>
      </c>
      <c r="E337" s="8">
        <v>44.9</v>
      </c>
      <c r="F337" s="13"/>
      <c r="G337" s="13" t="s">
        <v>13</v>
      </c>
      <c r="H337" s="13" t="s">
        <v>14</v>
      </c>
      <c r="I337" s="13" t="s">
        <v>15</v>
      </c>
      <c r="J337" s="17">
        <f t="shared" si="5"/>
        <v>1500.0192</v>
      </c>
      <c r="K337" s="15" t="s">
        <v>16</v>
      </c>
      <c r="L337" s="13"/>
      <c r="M337" s="13"/>
      <c r="N337" s="14"/>
    </row>
    <row r="338" spans="1:14" x14ac:dyDescent="0.35">
      <c r="A338" s="16" t="s">
        <v>20</v>
      </c>
      <c r="B338" s="13" t="s">
        <v>21</v>
      </c>
      <c r="C338" s="12">
        <v>43844</v>
      </c>
      <c r="D338" s="8">
        <v>42.427</v>
      </c>
      <c r="E338" s="8">
        <v>35.354999999999997</v>
      </c>
      <c r="F338" s="13"/>
      <c r="G338" s="13" t="s">
        <v>13</v>
      </c>
      <c r="H338" s="13" t="s">
        <v>22</v>
      </c>
      <c r="I338" s="13" t="s">
        <v>23</v>
      </c>
      <c r="J338" s="17">
        <f t="shared" si="5"/>
        <v>1500.0065849999999</v>
      </c>
      <c r="K338" s="15" t="s">
        <v>16</v>
      </c>
      <c r="L338" s="13"/>
      <c r="M338" s="13"/>
      <c r="N338" s="14"/>
    </row>
    <row r="339" spans="1:14" x14ac:dyDescent="0.35">
      <c r="A339" s="16" t="s">
        <v>24</v>
      </c>
      <c r="B339" s="13" t="s">
        <v>25</v>
      </c>
      <c r="C339" s="12">
        <v>43845</v>
      </c>
      <c r="D339" s="8">
        <v>176.30500000000001</v>
      </c>
      <c r="E339" s="8">
        <v>28.3599</v>
      </c>
      <c r="F339" s="13"/>
      <c r="G339" s="13" t="s">
        <v>13</v>
      </c>
      <c r="H339" s="13" t="s">
        <v>14</v>
      </c>
      <c r="I339" s="13" t="s">
        <v>26</v>
      </c>
      <c r="J339" s="17">
        <f t="shared" si="5"/>
        <v>4999.9921695000003</v>
      </c>
      <c r="K339" s="15" t="s">
        <v>16</v>
      </c>
      <c r="L339" s="13"/>
      <c r="M339" s="13"/>
      <c r="N339" s="14"/>
    </row>
    <row r="340" spans="1:14" x14ac:dyDescent="0.35">
      <c r="A340" s="16" t="s">
        <v>11</v>
      </c>
      <c r="B340" s="13" t="s">
        <v>12</v>
      </c>
      <c r="C340" s="12">
        <v>43845</v>
      </c>
      <c r="D340" s="8">
        <v>33.399000000000001</v>
      </c>
      <c r="E340" s="8">
        <v>44.9114</v>
      </c>
      <c r="F340" s="13"/>
      <c r="G340" s="13" t="s">
        <v>13</v>
      </c>
      <c r="H340" s="13" t="s">
        <v>14</v>
      </c>
      <c r="I340" s="13" t="s">
        <v>15</v>
      </c>
      <c r="J340" s="17">
        <f t="shared" si="5"/>
        <v>1499.9958486</v>
      </c>
      <c r="K340" s="15" t="s">
        <v>16</v>
      </c>
      <c r="L340" s="13"/>
      <c r="M340" s="13"/>
      <c r="N340" s="14"/>
    </row>
    <row r="341" spans="1:14" x14ac:dyDescent="0.35">
      <c r="A341" s="16" t="s">
        <v>20</v>
      </c>
      <c r="B341" s="13" t="s">
        <v>21</v>
      </c>
      <c r="C341" s="12">
        <v>43845</v>
      </c>
      <c r="D341" s="8">
        <v>42.427999999999997</v>
      </c>
      <c r="E341" s="8">
        <v>35.353999999999999</v>
      </c>
      <c r="F341" s="13"/>
      <c r="G341" s="13" t="s">
        <v>13</v>
      </c>
      <c r="H341" s="13" t="s">
        <v>22</v>
      </c>
      <c r="I341" s="13" t="s">
        <v>23</v>
      </c>
      <c r="J341" s="17">
        <f t="shared" si="5"/>
        <v>1499.9995119999999</v>
      </c>
      <c r="K341" s="15" t="s">
        <v>16</v>
      </c>
      <c r="L341" s="13"/>
      <c r="M341" s="13"/>
      <c r="N341" s="14"/>
    </row>
    <row r="342" spans="1:14" x14ac:dyDescent="0.35">
      <c r="A342" s="16" t="s">
        <v>24</v>
      </c>
      <c r="B342" s="13" t="s">
        <v>25</v>
      </c>
      <c r="C342" s="12">
        <v>43850</v>
      </c>
      <c r="D342" s="8">
        <v>175.44</v>
      </c>
      <c r="E342" s="8">
        <v>28.4998</v>
      </c>
      <c r="F342" s="13"/>
      <c r="G342" s="13" t="s">
        <v>13</v>
      </c>
      <c r="H342" s="13" t="s">
        <v>14</v>
      </c>
      <c r="I342" s="13" t="s">
        <v>26</v>
      </c>
      <c r="J342" s="17">
        <f t="shared" si="5"/>
        <v>5000.0049120000003</v>
      </c>
      <c r="K342" s="15" t="s">
        <v>16</v>
      </c>
      <c r="L342" s="13"/>
      <c r="M342" s="13"/>
      <c r="N342" s="14"/>
    </row>
    <row r="343" spans="1:14" x14ac:dyDescent="0.35">
      <c r="A343" s="16" t="s">
        <v>17</v>
      </c>
      <c r="B343" s="13" t="s">
        <v>18</v>
      </c>
      <c r="C343" s="12">
        <v>43871</v>
      </c>
      <c r="D343" s="8">
        <v>67.686999999999998</v>
      </c>
      <c r="E343" s="8">
        <v>44.321800000000003</v>
      </c>
      <c r="F343" s="13"/>
      <c r="G343" s="13" t="s">
        <v>13</v>
      </c>
      <c r="H343" s="13"/>
      <c r="I343" s="13" t="s">
        <v>19</v>
      </c>
      <c r="J343" s="17">
        <f t="shared" si="5"/>
        <v>3000.0096766000001</v>
      </c>
      <c r="K343" s="15" t="s">
        <v>16</v>
      </c>
      <c r="L343" s="13"/>
      <c r="M343" s="13"/>
      <c r="N343" s="14"/>
    </row>
    <row r="344" spans="1:14" x14ac:dyDescent="0.35">
      <c r="A344" s="16" t="s">
        <v>24</v>
      </c>
      <c r="B344" s="13" t="s">
        <v>25</v>
      </c>
      <c r="C344" s="12">
        <v>43871</v>
      </c>
      <c r="D344" s="8">
        <v>34.47</v>
      </c>
      <c r="E344" s="8">
        <v>29.010899999999999</v>
      </c>
      <c r="F344" s="13"/>
      <c r="G344" s="13" t="s">
        <v>13</v>
      </c>
      <c r="H344" s="13" t="s">
        <v>14</v>
      </c>
      <c r="I344" s="13" t="s">
        <v>26</v>
      </c>
      <c r="J344" s="17">
        <f t="shared" si="5"/>
        <v>1000.005723</v>
      </c>
      <c r="K344" s="15" t="s">
        <v>16</v>
      </c>
      <c r="L344" s="13"/>
      <c r="M344" s="13"/>
      <c r="N344" s="14"/>
    </row>
    <row r="345" spans="1:14" x14ac:dyDescent="0.35">
      <c r="A345" s="16" t="s">
        <v>11</v>
      </c>
      <c r="B345" s="13" t="s">
        <v>12</v>
      </c>
      <c r="C345" s="12">
        <v>43871</v>
      </c>
      <c r="D345" s="8">
        <v>22.564</v>
      </c>
      <c r="E345" s="8">
        <v>44.319000000000003</v>
      </c>
      <c r="F345" s="13"/>
      <c r="G345" s="13" t="s">
        <v>13</v>
      </c>
      <c r="H345" s="13" t="s">
        <v>14</v>
      </c>
      <c r="I345" s="13" t="s">
        <v>15</v>
      </c>
      <c r="J345" s="17">
        <f t="shared" si="5"/>
        <v>1000.0139160000001</v>
      </c>
      <c r="K345" s="15" t="s">
        <v>16</v>
      </c>
      <c r="L345" s="13"/>
      <c r="M345" s="13"/>
      <c r="N345" s="14"/>
    </row>
    <row r="346" spans="1:14" x14ac:dyDescent="0.35">
      <c r="A346" s="16" t="s">
        <v>20</v>
      </c>
      <c r="B346" s="13" t="s">
        <v>21</v>
      </c>
      <c r="C346" s="12">
        <v>43871</v>
      </c>
      <c r="D346" s="8">
        <v>56.277999999999999</v>
      </c>
      <c r="E346" s="8">
        <v>35.5381</v>
      </c>
      <c r="F346" s="13"/>
      <c r="G346" s="13" t="s">
        <v>13</v>
      </c>
      <c r="H346" s="13" t="s">
        <v>22</v>
      </c>
      <c r="I346" s="13" t="s">
        <v>23</v>
      </c>
      <c r="J346" s="17">
        <f t="shared" si="5"/>
        <v>2000.0131918</v>
      </c>
      <c r="K346" s="15" t="s">
        <v>16</v>
      </c>
      <c r="L346" s="13"/>
      <c r="M346" s="13"/>
      <c r="N346" s="14"/>
    </row>
    <row r="347" spans="1:14" x14ac:dyDescent="0.35">
      <c r="A347" s="16">
        <v>18917658</v>
      </c>
      <c r="B347" s="13" t="s">
        <v>12</v>
      </c>
      <c r="C347" s="12">
        <v>43871</v>
      </c>
      <c r="D347" s="8">
        <v>67.691000000000003</v>
      </c>
      <c r="E347" s="8">
        <v>44.319000000000003</v>
      </c>
      <c r="F347" s="13"/>
      <c r="G347" s="13" t="s">
        <v>31</v>
      </c>
      <c r="H347" s="13" t="s">
        <v>14</v>
      </c>
      <c r="I347" s="13" t="s">
        <v>15</v>
      </c>
      <c r="J347" s="17">
        <f t="shared" si="5"/>
        <v>2999.9974290000005</v>
      </c>
      <c r="K347" s="15" t="s">
        <v>32</v>
      </c>
      <c r="L347" s="13"/>
      <c r="M347" s="13"/>
      <c r="N347" s="14"/>
    </row>
    <row r="348" spans="1:14" x14ac:dyDescent="0.35">
      <c r="A348" s="16" t="s">
        <v>24</v>
      </c>
      <c r="B348" s="13" t="s">
        <v>25</v>
      </c>
      <c r="C348" s="12">
        <v>43885</v>
      </c>
      <c r="D348" s="8">
        <v>34.707000000000001</v>
      </c>
      <c r="E348" s="8">
        <v>28.812999999999999</v>
      </c>
      <c r="F348" s="13"/>
      <c r="G348" s="13" t="s">
        <v>13</v>
      </c>
      <c r="H348" s="13" t="s">
        <v>14</v>
      </c>
      <c r="I348" s="13" t="s">
        <v>26</v>
      </c>
      <c r="J348" s="17">
        <f t="shared" si="5"/>
        <v>1000.012791</v>
      </c>
      <c r="K348" s="15" t="s">
        <v>16</v>
      </c>
      <c r="L348" s="13"/>
      <c r="M348" s="13"/>
      <c r="N348" s="14"/>
    </row>
    <row r="349" spans="1:14" x14ac:dyDescent="0.35">
      <c r="A349" s="16" t="s">
        <v>11</v>
      </c>
      <c r="B349" s="13" t="s">
        <v>12</v>
      </c>
      <c r="C349" s="12">
        <v>43885</v>
      </c>
      <c r="D349" s="8">
        <v>23.021999999999998</v>
      </c>
      <c r="E349" s="8">
        <v>43.436</v>
      </c>
      <c r="F349" s="13"/>
      <c r="G349" s="13" t="s">
        <v>13</v>
      </c>
      <c r="H349" s="13" t="s">
        <v>14</v>
      </c>
      <c r="I349" s="13" t="s">
        <v>15</v>
      </c>
      <c r="J349" s="17">
        <f t="shared" si="5"/>
        <v>999.98359199999993</v>
      </c>
      <c r="K349" s="15" t="s">
        <v>16</v>
      </c>
      <c r="L349" s="13"/>
      <c r="M349" s="13"/>
      <c r="N349" s="14"/>
    </row>
    <row r="350" spans="1:14" x14ac:dyDescent="0.35">
      <c r="A350" s="16" t="s">
        <v>20</v>
      </c>
      <c r="B350" s="13" t="s">
        <v>21</v>
      </c>
      <c r="C350" s="12">
        <v>43885</v>
      </c>
      <c r="D350" s="8">
        <v>28.486000000000001</v>
      </c>
      <c r="E350" s="8">
        <v>35.104500000000002</v>
      </c>
      <c r="F350" s="13"/>
      <c r="G350" s="13" t="s">
        <v>13</v>
      </c>
      <c r="H350" s="13" t="s">
        <v>22</v>
      </c>
      <c r="I350" s="13" t="s">
        <v>23</v>
      </c>
      <c r="J350" s="17">
        <f t="shared" si="5"/>
        <v>999.98678700000005</v>
      </c>
      <c r="K350" s="15" t="s">
        <v>16</v>
      </c>
      <c r="L350" s="13"/>
      <c r="M350" s="13"/>
      <c r="N350" s="14"/>
    </row>
    <row r="351" spans="1:14" x14ac:dyDescent="0.35">
      <c r="A351" s="16" t="s">
        <v>24</v>
      </c>
      <c r="B351" s="13" t="s">
        <v>25</v>
      </c>
      <c r="C351" s="12">
        <v>43888</v>
      </c>
      <c r="D351" s="8">
        <v>35.722000000000001</v>
      </c>
      <c r="E351" s="8">
        <v>27.9938</v>
      </c>
      <c r="F351" s="13"/>
      <c r="G351" s="13" t="s">
        <v>13</v>
      </c>
      <c r="H351" s="13" t="s">
        <v>14</v>
      </c>
      <c r="I351" s="13" t="s">
        <v>26</v>
      </c>
      <c r="J351" s="17">
        <f t="shared" si="5"/>
        <v>999.99452360000009</v>
      </c>
      <c r="K351" s="15" t="s">
        <v>16</v>
      </c>
      <c r="L351" s="13"/>
      <c r="M351" s="13"/>
      <c r="N351" s="14"/>
    </row>
    <row r="352" spans="1:14" x14ac:dyDescent="0.35">
      <c r="A352" s="16" t="s">
        <v>11</v>
      </c>
      <c r="B352" s="13" t="s">
        <v>12</v>
      </c>
      <c r="C352" s="12">
        <v>43888</v>
      </c>
      <c r="D352" s="8">
        <v>23.454000000000001</v>
      </c>
      <c r="E352" s="8">
        <v>42.636299999999999</v>
      </c>
      <c r="F352" s="13"/>
      <c r="G352" s="13" t="s">
        <v>13</v>
      </c>
      <c r="H352" s="13" t="s">
        <v>14</v>
      </c>
      <c r="I352" s="13" t="s">
        <v>15</v>
      </c>
      <c r="J352" s="17">
        <f t="shared" si="5"/>
        <v>999.99178019999999</v>
      </c>
      <c r="K352" s="15" t="s">
        <v>16</v>
      </c>
      <c r="L352" s="13"/>
      <c r="M352" s="13"/>
      <c r="N352" s="14"/>
    </row>
    <row r="353" spans="1:14" x14ac:dyDescent="0.35">
      <c r="A353" s="16" t="s">
        <v>20</v>
      </c>
      <c r="B353" s="13" t="s">
        <v>21</v>
      </c>
      <c r="C353" s="12">
        <v>43888</v>
      </c>
      <c r="D353" s="8">
        <v>28.922999999999998</v>
      </c>
      <c r="E353" s="8">
        <v>34.5747</v>
      </c>
      <c r="F353" s="13"/>
      <c r="G353" s="13" t="s">
        <v>13</v>
      </c>
      <c r="H353" s="13" t="s">
        <v>22</v>
      </c>
      <c r="I353" s="13" t="s">
        <v>23</v>
      </c>
      <c r="J353" s="17">
        <f t="shared" si="5"/>
        <v>1000.0040481</v>
      </c>
      <c r="K353" s="15" t="s">
        <v>16</v>
      </c>
      <c r="L353" s="13"/>
      <c r="M353" s="13"/>
      <c r="N353" s="14"/>
    </row>
    <row r="354" spans="1:14" x14ac:dyDescent="0.35">
      <c r="A354" s="16" t="s">
        <v>24</v>
      </c>
      <c r="B354" s="13" t="s">
        <v>25</v>
      </c>
      <c r="C354" s="12">
        <v>43896</v>
      </c>
      <c r="D354" s="8">
        <v>37.283000000000001</v>
      </c>
      <c r="E354" s="8">
        <v>26.821999999999999</v>
      </c>
      <c r="F354" s="13"/>
      <c r="G354" s="13" t="s">
        <v>13</v>
      </c>
      <c r="H354" s="13" t="s">
        <v>14</v>
      </c>
      <c r="I354" s="13" t="s">
        <v>26</v>
      </c>
      <c r="J354" s="17">
        <f t="shared" si="5"/>
        <v>1000.004626</v>
      </c>
      <c r="K354" s="15" t="s">
        <v>16</v>
      </c>
      <c r="L354" s="13"/>
      <c r="M354" s="13"/>
      <c r="N354" s="14"/>
    </row>
    <row r="355" spans="1:14" x14ac:dyDescent="0.35">
      <c r="A355" s="16" t="s">
        <v>11</v>
      </c>
      <c r="B355" s="13" t="s">
        <v>12</v>
      </c>
      <c r="C355" s="12">
        <v>43896</v>
      </c>
      <c r="D355" s="8">
        <v>24.68</v>
      </c>
      <c r="E355" s="8">
        <v>40.518999999999998</v>
      </c>
      <c r="F355" s="13"/>
      <c r="G355" s="13" t="s">
        <v>13</v>
      </c>
      <c r="H355" s="13" t="s">
        <v>14</v>
      </c>
      <c r="I355" s="13" t="s">
        <v>15</v>
      </c>
      <c r="J355" s="17">
        <f t="shared" si="5"/>
        <v>1000.00892</v>
      </c>
      <c r="K355" s="15" t="s">
        <v>16</v>
      </c>
      <c r="L355" s="13"/>
      <c r="M355" s="13"/>
      <c r="N355" s="14"/>
    </row>
    <row r="356" spans="1:14" x14ac:dyDescent="0.35">
      <c r="A356" s="16" t="s">
        <v>20</v>
      </c>
      <c r="B356" s="13" t="s">
        <v>21</v>
      </c>
      <c r="C356" s="12">
        <v>43896</v>
      </c>
      <c r="D356" s="8">
        <v>30.273</v>
      </c>
      <c r="E356" s="8">
        <v>33.033000000000001</v>
      </c>
      <c r="F356" s="13"/>
      <c r="G356" s="13" t="s">
        <v>13</v>
      </c>
      <c r="H356" s="13" t="s">
        <v>22</v>
      </c>
      <c r="I356" s="13" t="s">
        <v>23</v>
      </c>
      <c r="J356" s="17">
        <f t="shared" si="5"/>
        <v>1000.008009</v>
      </c>
      <c r="K356" s="15" t="s">
        <v>16</v>
      </c>
      <c r="L356" s="13"/>
      <c r="M356" s="13"/>
      <c r="N356" s="14"/>
    </row>
    <row r="357" spans="1:14" x14ac:dyDescent="0.35">
      <c r="A357" s="16" t="s">
        <v>24</v>
      </c>
      <c r="B357" s="13" t="s">
        <v>25</v>
      </c>
      <c r="C357" s="12">
        <v>43899</v>
      </c>
      <c r="D357" s="8">
        <v>38.497</v>
      </c>
      <c r="E357" s="8">
        <v>25.975899999999999</v>
      </c>
      <c r="F357" s="13"/>
      <c r="G357" s="13" t="s">
        <v>13</v>
      </c>
      <c r="H357" s="13" t="s">
        <v>14</v>
      </c>
      <c r="I357" s="13" t="s">
        <v>26</v>
      </c>
      <c r="J357" s="17">
        <f t="shared" si="5"/>
        <v>999.99422229999993</v>
      </c>
      <c r="K357" s="15" t="s">
        <v>16</v>
      </c>
      <c r="L357" s="13"/>
      <c r="M357" s="13"/>
      <c r="N357" s="14"/>
    </row>
    <row r="358" spans="1:14" x14ac:dyDescent="0.35">
      <c r="A358" s="16" t="s">
        <v>11</v>
      </c>
      <c r="B358" s="13" t="s">
        <v>12</v>
      </c>
      <c r="C358" s="12">
        <v>43899</v>
      </c>
      <c r="D358" s="8">
        <v>25.638000000000002</v>
      </c>
      <c r="E358" s="8">
        <v>39.003900000000002</v>
      </c>
      <c r="F358" s="13"/>
      <c r="G358" s="13" t="s">
        <v>13</v>
      </c>
      <c r="H358" s="13" t="s">
        <v>14</v>
      </c>
      <c r="I358" s="13" t="s">
        <v>15</v>
      </c>
      <c r="J358" s="17">
        <f t="shared" si="5"/>
        <v>999.98198820000016</v>
      </c>
      <c r="K358" s="15" t="s">
        <v>16</v>
      </c>
      <c r="L358" s="13"/>
      <c r="M358" s="13"/>
      <c r="N358" s="14"/>
    </row>
    <row r="359" spans="1:14" x14ac:dyDescent="0.35">
      <c r="A359" s="16" t="s">
        <v>20</v>
      </c>
      <c r="B359" s="13" t="s">
        <v>21</v>
      </c>
      <c r="C359" s="12">
        <v>43899</v>
      </c>
      <c r="D359" s="8">
        <v>31.448</v>
      </c>
      <c r="E359" s="8">
        <v>31.798300000000001</v>
      </c>
      <c r="F359" s="13"/>
      <c r="G359" s="13" t="s">
        <v>13</v>
      </c>
      <c r="H359" s="13" t="s">
        <v>22</v>
      </c>
      <c r="I359" s="13" t="s">
        <v>23</v>
      </c>
      <c r="J359" s="17">
        <f t="shared" si="5"/>
        <v>999.99293840000007</v>
      </c>
      <c r="K359" s="15" t="s">
        <v>16</v>
      </c>
      <c r="L359" s="13"/>
      <c r="M359" s="13"/>
      <c r="N359" s="14"/>
    </row>
    <row r="360" spans="1:14" x14ac:dyDescent="0.35">
      <c r="A360" s="16" t="s">
        <v>33</v>
      </c>
      <c r="B360" s="13" t="s">
        <v>25</v>
      </c>
      <c r="C360" s="12">
        <v>43899</v>
      </c>
      <c r="D360" s="8">
        <v>38.497</v>
      </c>
      <c r="E360" s="8">
        <v>25.975899999999999</v>
      </c>
      <c r="F360" s="13"/>
      <c r="G360" s="13" t="s">
        <v>31</v>
      </c>
      <c r="H360" s="13" t="s">
        <v>14</v>
      </c>
      <c r="I360" s="13" t="s">
        <v>26</v>
      </c>
      <c r="J360" s="17">
        <f t="shared" si="5"/>
        <v>999.99422229999993</v>
      </c>
      <c r="K360" s="15" t="s">
        <v>32</v>
      </c>
      <c r="L360" s="13"/>
      <c r="M360" s="13"/>
      <c r="N360" s="14"/>
    </row>
    <row r="361" spans="1:14" x14ac:dyDescent="0.35">
      <c r="A361" s="16">
        <v>18917658</v>
      </c>
      <c r="B361" s="13" t="s">
        <v>12</v>
      </c>
      <c r="C361" s="12">
        <v>43899</v>
      </c>
      <c r="D361" s="8">
        <v>25.638000000000002</v>
      </c>
      <c r="E361" s="8">
        <v>39.003900000000002</v>
      </c>
      <c r="F361" s="13"/>
      <c r="G361" s="13" t="s">
        <v>31</v>
      </c>
      <c r="H361" s="13" t="s">
        <v>14</v>
      </c>
      <c r="I361" s="13" t="s">
        <v>15</v>
      </c>
      <c r="J361" s="17">
        <f t="shared" si="5"/>
        <v>999.98198820000016</v>
      </c>
      <c r="K361" s="15" t="s">
        <v>32</v>
      </c>
      <c r="L361" s="13"/>
      <c r="M361" s="13"/>
      <c r="N361" s="14"/>
    </row>
    <row r="362" spans="1:14" x14ac:dyDescent="0.35">
      <c r="A362" s="16" t="s">
        <v>17</v>
      </c>
      <c r="B362" s="13" t="s">
        <v>18</v>
      </c>
      <c r="C362" s="12">
        <v>43900</v>
      </c>
      <c r="D362" s="8">
        <v>77.462000000000003</v>
      </c>
      <c r="E362" s="8">
        <v>38.728499999999997</v>
      </c>
      <c r="F362" s="13"/>
      <c r="G362" s="13" t="s">
        <v>13</v>
      </c>
      <c r="H362" s="13"/>
      <c r="I362" s="13" t="s">
        <v>19</v>
      </c>
      <c r="J362" s="17">
        <f t="shared" si="5"/>
        <v>2999.987067</v>
      </c>
      <c r="K362" s="15" t="s">
        <v>16</v>
      </c>
      <c r="L362" s="13"/>
      <c r="M362" s="13"/>
      <c r="N362" s="14"/>
    </row>
    <row r="363" spans="1:14" x14ac:dyDescent="0.35">
      <c r="A363" s="16" t="s">
        <v>24</v>
      </c>
      <c r="B363" s="13" t="s">
        <v>25</v>
      </c>
      <c r="C363" s="12">
        <v>43903</v>
      </c>
      <c r="D363" s="8">
        <v>41.359000000000002</v>
      </c>
      <c r="E363" s="8">
        <v>24.1784</v>
      </c>
      <c r="F363" s="13"/>
      <c r="G363" s="13" t="s">
        <v>13</v>
      </c>
      <c r="H363" s="13" t="s">
        <v>14</v>
      </c>
      <c r="I363" s="13" t="s">
        <v>26</v>
      </c>
      <c r="J363" s="17">
        <f t="shared" si="5"/>
        <v>999.99444560000006</v>
      </c>
      <c r="K363" s="15" t="s">
        <v>16</v>
      </c>
      <c r="L363" s="13"/>
      <c r="M363" s="13"/>
      <c r="N363" s="14"/>
    </row>
    <row r="364" spans="1:14" x14ac:dyDescent="0.35">
      <c r="A364" s="16" t="s">
        <v>11</v>
      </c>
      <c r="B364" s="13" t="s">
        <v>12</v>
      </c>
      <c r="C364" s="12">
        <v>43903</v>
      </c>
      <c r="D364" s="8">
        <v>27.123000000000001</v>
      </c>
      <c r="E364" s="8">
        <v>36.869300000000003</v>
      </c>
      <c r="F364" s="13"/>
      <c r="G364" s="13" t="s">
        <v>13</v>
      </c>
      <c r="H364" s="13" t="s">
        <v>14</v>
      </c>
      <c r="I364" s="13" t="s">
        <v>15</v>
      </c>
      <c r="J364" s="17">
        <f t="shared" si="5"/>
        <v>1000.0060239000001</v>
      </c>
      <c r="K364" s="15" t="s">
        <v>16</v>
      </c>
      <c r="L364" s="13"/>
      <c r="M364" s="13"/>
      <c r="N364" s="14"/>
    </row>
    <row r="365" spans="1:14" x14ac:dyDescent="0.35">
      <c r="A365" s="16" t="s">
        <v>20</v>
      </c>
      <c r="B365" s="13" t="s">
        <v>21</v>
      </c>
      <c r="C365" s="12">
        <v>43903</v>
      </c>
      <c r="D365" s="8">
        <v>32.918999999999997</v>
      </c>
      <c r="E365" s="8">
        <v>30.377400000000002</v>
      </c>
      <c r="F365" s="13"/>
      <c r="G365" s="13" t="s">
        <v>13</v>
      </c>
      <c r="H365" s="13" t="s">
        <v>22</v>
      </c>
      <c r="I365" s="13" t="s">
        <v>23</v>
      </c>
      <c r="J365" s="17">
        <f t="shared" si="5"/>
        <v>999.99363059999996</v>
      </c>
      <c r="K365" s="15" t="s">
        <v>16</v>
      </c>
      <c r="L365" s="13"/>
      <c r="M365" s="13"/>
      <c r="N365" s="14"/>
    </row>
    <row r="366" spans="1:14" x14ac:dyDescent="0.35">
      <c r="A366" s="16" t="s">
        <v>33</v>
      </c>
      <c r="B366" s="13" t="s">
        <v>25</v>
      </c>
      <c r="C366" s="12">
        <v>43903</v>
      </c>
      <c r="D366" s="8">
        <v>41.359000000000002</v>
      </c>
      <c r="E366" s="8">
        <v>24.1784</v>
      </c>
      <c r="F366" s="13"/>
      <c r="G366" s="13" t="s">
        <v>31</v>
      </c>
      <c r="H366" s="13" t="s">
        <v>14</v>
      </c>
      <c r="I366" s="13" t="s">
        <v>26</v>
      </c>
      <c r="J366" s="17">
        <f t="shared" si="5"/>
        <v>999.99444560000006</v>
      </c>
      <c r="K366" s="15" t="s">
        <v>32</v>
      </c>
      <c r="L366" s="13"/>
      <c r="M366" s="13"/>
      <c r="N366" s="14"/>
    </row>
    <row r="367" spans="1:14" x14ac:dyDescent="0.35">
      <c r="A367" s="16" t="s">
        <v>20</v>
      </c>
      <c r="B367" s="13" t="s">
        <v>34</v>
      </c>
      <c r="C367" s="12">
        <v>43921</v>
      </c>
      <c r="D367" s="8">
        <v>13.192</v>
      </c>
      <c r="E367" s="8">
        <v>75.803100000000001</v>
      </c>
      <c r="F367" s="13"/>
      <c r="G367" s="13" t="s">
        <v>13</v>
      </c>
      <c r="H367" s="13" t="s">
        <v>35</v>
      </c>
      <c r="I367" s="13" t="s">
        <v>36</v>
      </c>
      <c r="J367" s="17">
        <f t="shared" si="5"/>
        <v>999.99449520000007</v>
      </c>
      <c r="K367" s="15" t="s">
        <v>16</v>
      </c>
      <c r="L367" s="13"/>
      <c r="M367" s="13"/>
      <c r="N367" s="14"/>
    </row>
    <row r="368" spans="1:14" x14ac:dyDescent="0.35">
      <c r="A368" s="16" t="s">
        <v>17</v>
      </c>
      <c r="B368" s="13" t="s">
        <v>18</v>
      </c>
      <c r="C368" s="12">
        <v>43934</v>
      </c>
      <c r="D368" s="8">
        <v>95.875</v>
      </c>
      <c r="E368" s="8">
        <v>31.290800000000001</v>
      </c>
      <c r="F368" s="13"/>
      <c r="G368" s="13" t="s">
        <v>13</v>
      </c>
      <c r="H368" s="13"/>
      <c r="I368" s="13" t="s">
        <v>19</v>
      </c>
      <c r="J368" s="17">
        <f t="shared" si="5"/>
        <v>3000.0054500000001</v>
      </c>
      <c r="K368" s="15" t="s">
        <v>16</v>
      </c>
      <c r="L368" s="13"/>
      <c r="M368" s="13"/>
      <c r="N368" s="14"/>
    </row>
    <row r="369" spans="1:14" x14ac:dyDescent="0.35">
      <c r="A369" s="16" t="s">
        <v>17</v>
      </c>
      <c r="B369" s="13" t="s">
        <v>18</v>
      </c>
      <c r="C369" s="12">
        <v>43962</v>
      </c>
      <c r="D369" s="8">
        <v>93.793999999999997</v>
      </c>
      <c r="E369" s="8">
        <v>31.984999999999999</v>
      </c>
      <c r="F369" s="13"/>
      <c r="G369" s="13" t="s">
        <v>13</v>
      </c>
      <c r="H369" s="13"/>
      <c r="I369" s="13" t="s">
        <v>19</v>
      </c>
      <c r="J369" s="17">
        <f t="shared" si="5"/>
        <v>3000.0010899999997</v>
      </c>
      <c r="K369" s="15" t="s">
        <v>16</v>
      </c>
      <c r="L369" s="13"/>
      <c r="M369" s="13"/>
      <c r="N369" s="14"/>
    </row>
    <row r="370" spans="1:14" x14ac:dyDescent="0.35">
      <c r="A370" s="16" t="s">
        <v>20</v>
      </c>
      <c r="B370" s="13" t="s">
        <v>34</v>
      </c>
      <c r="C370" s="12">
        <v>43962</v>
      </c>
      <c r="D370" s="8">
        <v>12.366</v>
      </c>
      <c r="E370" s="8">
        <v>80.866500000000002</v>
      </c>
      <c r="F370" s="13"/>
      <c r="G370" s="13" t="s">
        <v>13</v>
      </c>
      <c r="H370" s="13" t="s">
        <v>35</v>
      </c>
      <c r="I370" s="13" t="s">
        <v>36</v>
      </c>
      <c r="J370" s="17">
        <f t="shared" si="5"/>
        <v>999.99513899999999</v>
      </c>
      <c r="K370" s="15" t="s">
        <v>16</v>
      </c>
      <c r="L370" s="13"/>
      <c r="M370" s="13"/>
      <c r="N370" s="14"/>
    </row>
    <row r="371" spans="1:14" x14ac:dyDescent="0.35">
      <c r="A371" s="16" t="s">
        <v>24</v>
      </c>
      <c r="B371" s="13" t="s">
        <v>25</v>
      </c>
      <c r="C371" s="12">
        <v>43963</v>
      </c>
      <c r="D371" s="8">
        <v>80.073999999999998</v>
      </c>
      <c r="E371" s="8">
        <v>24.976800000000001</v>
      </c>
      <c r="F371" s="13"/>
      <c r="G371" s="13" t="s">
        <v>13</v>
      </c>
      <c r="H371" s="13" t="s">
        <v>14</v>
      </c>
      <c r="I371" s="13" t="s">
        <v>26</v>
      </c>
      <c r="J371" s="17">
        <f t="shared" si="5"/>
        <v>1999.9922832</v>
      </c>
      <c r="K371" s="15" t="s">
        <v>16</v>
      </c>
      <c r="L371" s="13"/>
      <c r="M371" s="13"/>
      <c r="N371" s="14"/>
    </row>
    <row r="372" spans="1:14" x14ac:dyDescent="0.35">
      <c r="A372" s="16" t="s">
        <v>11</v>
      </c>
      <c r="B372" s="13" t="s">
        <v>12</v>
      </c>
      <c r="C372" s="12">
        <v>43963</v>
      </c>
      <c r="D372" s="8">
        <v>58.604999999999997</v>
      </c>
      <c r="E372" s="8">
        <v>34.126600000000003</v>
      </c>
      <c r="F372" s="13"/>
      <c r="G372" s="13" t="s">
        <v>13</v>
      </c>
      <c r="H372" s="13" t="s">
        <v>14</v>
      </c>
      <c r="I372" s="13" t="s">
        <v>15</v>
      </c>
      <c r="J372" s="17">
        <f t="shared" si="5"/>
        <v>1999.9893930000001</v>
      </c>
      <c r="K372" s="15" t="s">
        <v>16</v>
      </c>
      <c r="L372" s="13"/>
      <c r="M372" s="13"/>
      <c r="N372" s="14"/>
    </row>
    <row r="373" spans="1:14" x14ac:dyDescent="0.35">
      <c r="A373" s="16" t="s">
        <v>20</v>
      </c>
      <c r="B373" s="13" t="s">
        <v>21</v>
      </c>
      <c r="C373" s="12">
        <v>43963</v>
      </c>
      <c r="D373" s="8">
        <v>69.754000000000005</v>
      </c>
      <c r="E373" s="8">
        <v>28.6721</v>
      </c>
      <c r="F373" s="13"/>
      <c r="G373" s="13" t="s">
        <v>13</v>
      </c>
      <c r="H373" s="13" t="s">
        <v>22</v>
      </c>
      <c r="I373" s="13" t="s">
        <v>23</v>
      </c>
      <c r="J373" s="17">
        <f t="shared" si="5"/>
        <v>1999.9936634000001</v>
      </c>
      <c r="K373" s="15" t="s">
        <v>16</v>
      </c>
      <c r="L373" s="13"/>
      <c r="M373" s="13"/>
      <c r="N373" s="14"/>
    </row>
    <row r="374" spans="1:14" x14ac:dyDescent="0.35">
      <c r="A374" s="16" t="s">
        <v>33</v>
      </c>
      <c r="B374" s="13" t="s">
        <v>25</v>
      </c>
      <c r="C374" s="12">
        <v>43963</v>
      </c>
      <c r="D374" s="8">
        <v>120.111</v>
      </c>
      <c r="E374" s="8">
        <v>24.976800000000001</v>
      </c>
      <c r="F374" s="13"/>
      <c r="G374" s="13" t="s">
        <v>31</v>
      </c>
      <c r="H374" s="13" t="s">
        <v>14</v>
      </c>
      <c r="I374" s="13" t="s">
        <v>26</v>
      </c>
      <c r="J374" s="17">
        <f t="shared" si="5"/>
        <v>2999.9884248000003</v>
      </c>
      <c r="K374" s="15" t="s">
        <v>32</v>
      </c>
      <c r="L374" s="13"/>
      <c r="M374" s="13"/>
      <c r="N374" s="14"/>
    </row>
    <row r="375" spans="1:14" x14ac:dyDescent="0.35">
      <c r="A375" s="16">
        <v>18917658</v>
      </c>
      <c r="B375" s="13" t="s">
        <v>12</v>
      </c>
      <c r="C375" s="12">
        <v>43963</v>
      </c>
      <c r="D375" s="8">
        <v>58.604999999999997</v>
      </c>
      <c r="E375" s="8">
        <v>34.126600000000003</v>
      </c>
      <c r="F375" s="13"/>
      <c r="G375" s="13" t="s">
        <v>31</v>
      </c>
      <c r="H375" s="13" t="s">
        <v>14</v>
      </c>
      <c r="I375" s="13" t="s">
        <v>15</v>
      </c>
      <c r="J375" s="17">
        <f t="shared" si="5"/>
        <v>1999.9893930000001</v>
      </c>
      <c r="K375" s="15" t="s">
        <v>32</v>
      </c>
      <c r="L375" s="13"/>
      <c r="M375" s="13"/>
      <c r="N375" s="14"/>
    </row>
    <row r="376" spans="1:14" x14ac:dyDescent="0.35">
      <c r="A376" s="16" t="s">
        <v>17</v>
      </c>
      <c r="B376" s="13" t="s">
        <v>18</v>
      </c>
      <c r="C376" s="12">
        <v>43993</v>
      </c>
      <c r="D376" s="8">
        <v>84.384</v>
      </c>
      <c r="E376" s="8">
        <v>35.551900000000003</v>
      </c>
      <c r="F376" s="13"/>
      <c r="G376" s="13" t="s">
        <v>13</v>
      </c>
      <c r="H376" s="13"/>
      <c r="I376" s="13" t="s">
        <v>19</v>
      </c>
      <c r="J376" s="17">
        <f t="shared" si="5"/>
        <v>3000.0115296000004</v>
      </c>
      <c r="K376" s="15" t="s">
        <v>16</v>
      </c>
      <c r="L376" s="13"/>
      <c r="M376" s="13"/>
      <c r="N376" s="14"/>
    </row>
    <row r="377" spans="1:14" x14ac:dyDescent="0.35">
      <c r="A377" s="16" t="s">
        <v>20</v>
      </c>
      <c r="B377" s="13" t="s">
        <v>34</v>
      </c>
      <c r="C377" s="12">
        <v>43993</v>
      </c>
      <c r="D377" s="8">
        <v>11.63</v>
      </c>
      <c r="E377" s="8">
        <v>85.982100000000003</v>
      </c>
      <c r="F377" s="13"/>
      <c r="G377" s="13" t="s">
        <v>13</v>
      </c>
      <c r="H377" s="13" t="s">
        <v>35</v>
      </c>
      <c r="I377" s="13" t="s">
        <v>36</v>
      </c>
      <c r="J377" s="17">
        <f t="shared" si="5"/>
        <v>999.97182300000009</v>
      </c>
      <c r="K377" s="15" t="s">
        <v>16</v>
      </c>
      <c r="L377" s="13"/>
      <c r="M377" s="13"/>
      <c r="N377" s="14"/>
    </row>
    <row r="378" spans="1:14" x14ac:dyDescent="0.35">
      <c r="A378" s="16" t="s">
        <v>24</v>
      </c>
      <c r="B378" s="13" t="s">
        <v>25</v>
      </c>
      <c r="C378" s="12">
        <v>43994</v>
      </c>
      <c r="D378" s="8">
        <v>74.096000000000004</v>
      </c>
      <c r="E378" s="8">
        <v>26.992100000000001</v>
      </c>
      <c r="F378" s="13"/>
      <c r="G378" s="13" t="s">
        <v>13</v>
      </c>
      <c r="H378" s="13" t="s">
        <v>14</v>
      </c>
      <c r="I378" s="13" t="s">
        <v>26</v>
      </c>
      <c r="J378" s="17">
        <f t="shared" si="5"/>
        <v>2000.0066416000002</v>
      </c>
      <c r="K378" s="15" t="s">
        <v>16</v>
      </c>
      <c r="L378" s="13"/>
      <c r="M378" s="13"/>
      <c r="N378" s="14"/>
    </row>
    <row r="379" spans="1:14" x14ac:dyDescent="0.35">
      <c r="A379" s="16" t="s">
        <v>11</v>
      </c>
      <c r="B379" s="13" t="s">
        <v>12</v>
      </c>
      <c r="C379" s="12">
        <v>43994</v>
      </c>
      <c r="D379" s="8">
        <v>54.38</v>
      </c>
      <c r="E379" s="8">
        <v>36.778500000000001</v>
      </c>
      <c r="F379" s="13"/>
      <c r="G379" s="13" t="s">
        <v>13</v>
      </c>
      <c r="H379" s="13" t="s">
        <v>14</v>
      </c>
      <c r="I379" s="13" t="s">
        <v>15</v>
      </c>
      <c r="J379" s="17">
        <f t="shared" si="5"/>
        <v>2000.0148300000001</v>
      </c>
      <c r="K379" s="15" t="s">
        <v>16</v>
      </c>
      <c r="L379" s="13"/>
      <c r="M379" s="13"/>
      <c r="N379" s="14"/>
    </row>
    <row r="380" spans="1:14" x14ac:dyDescent="0.35">
      <c r="A380" s="16" t="s">
        <v>20</v>
      </c>
      <c r="B380" s="13" t="s">
        <v>21</v>
      </c>
      <c r="C380" s="12">
        <v>43994</v>
      </c>
      <c r="D380" s="8">
        <v>98.686999999999998</v>
      </c>
      <c r="E380" s="8">
        <v>30.399000000000001</v>
      </c>
      <c r="F380" s="13"/>
      <c r="G380" s="13" t="s">
        <v>13</v>
      </c>
      <c r="H380" s="13" t="s">
        <v>22</v>
      </c>
      <c r="I380" s="13" t="s">
        <v>23</v>
      </c>
      <c r="J380" s="17">
        <f t="shared" si="5"/>
        <v>2999.9861129999999</v>
      </c>
      <c r="K380" s="15" t="s">
        <v>16</v>
      </c>
      <c r="L380" s="13"/>
      <c r="M380" s="13"/>
      <c r="N380" s="14"/>
    </row>
    <row r="381" spans="1:14" x14ac:dyDescent="0.35">
      <c r="A381" s="16" t="s">
        <v>33</v>
      </c>
      <c r="B381" s="13" t="s">
        <v>25</v>
      </c>
      <c r="C381" s="12">
        <v>43997</v>
      </c>
      <c r="D381" s="8">
        <v>37.201000000000001</v>
      </c>
      <c r="E381" s="8">
        <v>26.8813</v>
      </c>
      <c r="F381" s="13"/>
      <c r="G381" s="13" t="s">
        <v>31</v>
      </c>
      <c r="H381" s="13" t="s">
        <v>14</v>
      </c>
      <c r="I381" s="13" t="s">
        <v>26</v>
      </c>
      <c r="J381" s="17">
        <f t="shared" si="5"/>
        <v>1000.0112413000001</v>
      </c>
      <c r="K381" s="15" t="s">
        <v>32</v>
      </c>
      <c r="L381" s="13"/>
      <c r="M381" s="13"/>
      <c r="N381" s="14"/>
    </row>
    <row r="382" spans="1:14" x14ac:dyDescent="0.35">
      <c r="A382" s="16" t="s">
        <v>24</v>
      </c>
      <c r="B382" s="13" t="s">
        <v>25</v>
      </c>
      <c r="C382" s="12">
        <v>44011</v>
      </c>
      <c r="D382" s="8">
        <v>71.790999999999997</v>
      </c>
      <c r="E382" s="8">
        <v>27.858799999999999</v>
      </c>
      <c r="F382" s="13"/>
      <c r="G382" s="13" t="s">
        <v>13</v>
      </c>
      <c r="H382" s="13" t="s">
        <v>14</v>
      </c>
      <c r="I382" s="13" t="s">
        <v>26</v>
      </c>
      <c r="J382" s="17">
        <f t="shared" si="5"/>
        <v>2000.0111107999999</v>
      </c>
      <c r="K382" s="15" t="s">
        <v>16</v>
      </c>
      <c r="L382" s="13"/>
      <c r="M382" s="13"/>
      <c r="N382" s="14"/>
    </row>
    <row r="383" spans="1:14" x14ac:dyDescent="0.35">
      <c r="A383" s="16" t="s">
        <v>11</v>
      </c>
      <c r="B383" s="13" t="s">
        <v>12</v>
      </c>
      <c r="C383" s="12">
        <v>44011</v>
      </c>
      <c r="D383" s="8">
        <v>52.908000000000001</v>
      </c>
      <c r="E383" s="8">
        <v>37.801299999999998</v>
      </c>
      <c r="F383" s="13"/>
      <c r="G383" s="13" t="s">
        <v>13</v>
      </c>
      <c r="H383" s="13" t="s">
        <v>14</v>
      </c>
      <c r="I383" s="13" t="s">
        <v>15</v>
      </c>
      <c r="J383" s="17">
        <f t="shared" si="5"/>
        <v>1999.9911803999998</v>
      </c>
      <c r="K383" s="15" t="s">
        <v>16</v>
      </c>
      <c r="L383" s="13"/>
      <c r="M383" s="13"/>
      <c r="N383" s="14"/>
    </row>
    <row r="384" spans="1:14" x14ac:dyDescent="0.35">
      <c r="A384" s="16" t="s">
        <v>20</v>
      </c>
      <c r="B384" s="13" t="s">
        <v>34</v>
      </c>
      <c r="C384" s="12">
        <v>44011</v>
      </c>
      <c r="D384" s="8">
        <v>11.173999999999999</v>
      </c>
      <c r="E384" s="8">
        <v>89.492699999999999</v>
      </c>
      <c r="F384" s="13"/>
      <c r="G384" s="13" t="s">
        <v>13</v>
      </c>
      <c r="H384" s="13" t="s">
        <v>35</v>
      </c>
      <c r="I384" s="13" t="s">
        <v>36</v>
      </c>
      <c r="J384" s="17">
        <f t="shared" si="5"/>
        <v>999.99142979999999</v>
      </c>
      <c r="K384" s="15" t="s">
        <v>16</v>
      </c>
      <c r="L384" s="13"/>
      <c r="M384" s="13"/>
      <c r="N384" s="14"/>
    </row>
    <row r="385" spans="1:14" x14ac:dyDescent="0.35">
      <c r="A385" s="16" t="s">
        <v>20</v>
      </c>
      <c r="B385" s="13" t="s">
        <v>21</v>
      </c>
      <c r="C385" s="12">
        <v>44011</v>
      </c>
      <c r="D385" s="8">
        <v>95.83</v>
      </c>
      <c r="E385" s="8">
        <v>31.305399999999999</v>
      </c>
      <c r="F385" s="13"/>
      <c r="G385" s="13" t="s">
        <v>13</v>
      </c>
      <c r="H385" s="13" t="s">
        <v>22</v>
      </c>
      <c r="I385" s="13" t="s">
        <v>23</v>
      </c>
      <c r="J385" s="17">
        <f t="shared" si="5"/>
        <v>2999.996482</v>
      </c>
      <c r="K385" s="15" t="s">
        <v>16</v>
      </c>
      <c r="L385" s="13"/>
      <c r="M385" s="13"/>
      <c r="N385" s="14"/>
    </row>
    <row r="386" spans="1:14" x14ac:dyDescent="0.35">
      <c r="A386" s="16" t="s">
        <v>33</v>
      </c>
      <c r="B386" s="13" t="s">
        <v>25</v>
      </c>
      <c r="C386" s="12">
        <v>44011</v>
      </c>
      <c r="D386" s="8">
        <v>71.790999999999997</v>
      </c>
      <c r="E386" s="8">
        <v>27.858799999999999</v>
      </c>
      <c r="F386" s="13"/>
      <c r="G386" s="13" t="s">
        <v>31</v>
      </c>
      <c r="H386" s="13" t="s">
        <v>14</v>
      </c>
      <c r="I386" s="13" t="s">
        <v>26</v>
      </c>
      <c r="J386" s="17">
        <f t="shared" ref="J386:J448" si="6">D386*E386</f>
        <v>2000.0111107999999</v>
      </c>
      <c r="K386" s="15" t="s">
        <v>32</v>
      </c>
      <c r="L386" s="13"/>
      <c r="M386" s="13"/>
      <c r="N386" s="14"/>
    </row>
    <row r="387" spans="1:14" x14ac:dyDescent="0.35">
      <c r="A387" s="16" t="s">
        <v>17</v>
      </c>
      <c r="B387" s="13" t="s">
        <v>18</v>
      </c>
      <c r="C387" s="12">
        <v>44022</v>
      </c>
      <c r="D387" s="8">
        <v>78.638999999999996</v>
      </c>
      <c r="E387" s="8">
        <v>38.147199999999998</v>
      </c>
      <c r="F387" s="13"/>
      <c r="G387" s="13" t="s">
        <v>13</v>
      </c>
      <c r="H387" s="13"/>
      <c r="I387" s="13" t="s">
        <v>19</v>
      </c>
      <c r="J387" s="17">
        <f t="shared" si="6"/>
        <v>2999.8576607999998</v>
      </c>
      <c r="K387" s="15" t="s">
        <v>16</v>
      </c>
      <c r="L387" s="13"/>
      <c r="M387" s="13"/>
      <c r="N387" s="14"/>
    </row>
    <row r="388" spans="1:14" x14ac:dyDescent="0.35">
      <c r="A388" s="16" t="s">
        <v>20</v>
      </c>
      <c r="B388" s="13" t="s">
        <v>34</v>
      </c>
      <c r="C388" s="12">
        <v>44025</v>
      </c>
      <c r="D388" s="8">
        <v>10.611000000000001</v>
      </c>
      <c r="E388" s="8">
        <v>94.239000000000004</v>
      </c>
      <c r="F388" s="13"/>
      <c r="G388" s="13" t="s">
        <v>13</v>
      </c>
      <c r="H388" s="13" t="s">
        <v>35</v>
      </c>
      <c r="I388" s="13" t="s">
        <v>36</v>
      </c>
      <c r="J388" s="17">
        <f t="shared" si="6"/>
        <v>999.97002900000007</v>
      </c>
      <c r="K388" s="15" t="s">
        <v>16</v>
      </c>
      <c r="L388" s="13"/>
      <c r="M388" s="13"/>
      <c r="N388" s="14"/>
    </row>
    <row r="389" spans="1:14" x14ac:dyDescent="0.35">
      <c r="A389" s="16" t="s">
        <v>20</v>
      </c>
      <c r="B389" s="13" t="s">
        <v>21</v>
      </c>
      <c r="C389" s="12">
        <v>44050</v>
      </c>
      <c r="D389" s="8">
        <v>29.11</v>
      </c>
      <c r="E389" s="8">
        <v>34.3504</v>
      </c>
      <c r="F389" s="13"/>
      <c r="G389" s="13" t="s">
        <v>13</v>
      </c>
      <c r="H389" s="13" t="s">
        <v>22</v>
      </c>
      <c r="I389" s="13" t="s">
        <v>23</v>
      </c>
      <c r="J389" s="17">
        <f t="shared" si="6"/>
        <v>999.94014400000003</v>
      </c>
      <c r="K389" s="15" t="s">
        <v>16</v>
      </c>
      <c r="L389" s="13"/>
      <c r="M389" s="13"/>
      <c r="N389" s="14"/>
    </row>
    <row r="390" spans="1:14" x14ac:dyDescent="0.35">
      <c r="A390" s="16">
        <v>18917658</v>
      </c>
      <c r="B390" s="13" t="s">
        <v>12</v>
      </c>
      <c r="C390" s="12">
        <v>44050</v>
      </c>
      <c r="D390" s="8">
        <v>24.449000000000002</v>
      </c>
      <c r="E390" s="8">
        <v>40.8992</v>
      </c>
      <c r="F390" s="13"/>
      <c r="G390" s="13" t="s">
        <v>31</v>
      </c>
      <c r="H390" s="13" t="s">
        <v>14</v>
      </c>
      <c r="I390" s="13" t="s">
        <v>15</v>
      </c>
      <c r="J390" s="17">
        <f t="shared" si="6"/>
        <v>999.94454080000003</v>
      </c>
      <c r="K390" s="15" t="s">
        <v>32</v>
      </c>
      <c r="L390" s="13"/>
      <c r="M390" s="13"/>
      <c r="N390" s="14"/>
    </row>
    <row r="391" spans="1:14" x14ac:dyDescent="0.35">
      <c r="A391" s="16" t="s">
        <v>17</v>
      </c>
      <c r="B391" s="13" t="s">
        <v>18</v>
      </c>
      <c r="C391" s="12">
        <v>44053</v>
      </c>
      <c r="D391" s="8">
        <v>72.305000000000007</v>
      </c>
      <c r="E391" s="8">
        <v>41.489100000000001</v>
      </c>
      <c r="F391" s="13"/>
      <c r="G391" s="13" t="s">
        <v>13</v>
      </c>
      <c r="H391" s="13"/>
      <c r="I391" s="13" t="s">
        <v>19</v>
      </c>
      <c r="J391" s="17">
        <f t="shared" si="6"/>
        <v>2999.8693755000004</v>
      </c>
      <c r="K391" s="15" t="s">
        <v>16</v>
      </c>
      <c r="L391" s="13"/>
      <c r="M391" s="13"/>
      <c r="N391" s="14"/>
    </row>
    <row r="392" spans="1:14" x14ac:dyDescent="0.35">
      <c r="A392" s="16" t="s">
        <v>33</v>
      </c>
      <c r="B392" s="13" t="s">
        <v>25</v>
      </c>
      <c r="C392" s="12">
        <v>44053</v>
      </c>
      <c r="D392" s="8">
        <v>63.408000000000001</v>
      </c>
      <c r="E392" s="8">
        <v>31.540099999999999</v>
      </c>
      <c r="F392" s="13"/>
      <c r="G392" s="13" t="s">
        <v>31</v>
      </c>
      <c r="H392" s="13" t="s">
        <v>14</v>
      </c>
      <c r="I392" s="13" t="s">
        <v>26</v>
      </c>
      <c r="J392" s="17">
        <f t="shared" si="6"/>
        <v>1999.8946607999999</v>
      </c>
      <c r="K392" s="15" t="s">
        <v>32</v>
      </c>
      <c r="L392" s="13"/>
      <c r="M392" s="13"/>
      <c r="N392" s="14"/>
    </row>
    <row r="393" spans="1:14" x14ac:dyDescent="0.35">
      <c r="A393" s="16" t="s">
        <v>20</v>
      </c>
      <c r="B393" s="13" t="s">
        <v>34</v>
      </c>
      <c r="C393" s="12">
        <v>44054</v>
      </c>
      <c r="D393" s="8">
        <v>10.138999999999999</v>
      </c>
      <c r="E393" s="8">
        <v>98.628299999999996</v>
      </c>
      <c r="F393" s="13"/>
      <c r="G393" s="13" t="s">
        <v>13</v>
      </c>
      <c r="H393" s="13" t="s">
        <v>35</v>
      </c>
      <c r="I393" s="13" t="s">
        <v>36</v>
      </c>
      <c r="J393" s="17">
        <f t="shared" si="6"/>
        <v>999.9923336999999</v>
      </c>
      <c r="K393" s="15" t="s">
        <v>16</v>
      </c>
      <c r="L393" s="13"/>
      <c r="M393" s="13"/>
      <c r="N393" s="14"/>
    </row>
    <row r="394" spans="1:14" x14ac:dyDescent="0.35">
      <c r="A394" s="16" t="s">
        <v>24</v>
      </c>
      <c r="B394" s="13" t="s">
        <v>25</v>
      </c>
      <c r="C394" s="12">
        <v>44077</v>
      </c>
      <c r="D394" s="8">
        <v>90.936999999999998</v>
      </c>
      <c r="E394" s="8">
        <v>32.988300000000002</v>
      </c>
      <c r="F394" s="13"/>
      <c r="G394" s="13" t="s">
        <v>13</v>
      </c>
      <c r="H394" s="13" t="s">
        <v>14</v>
      </c>
      <c r="I394" s="13" t="s">
        <v>26</v>
      </c>
      <c r="J394" s="17">
        <f t="shared" si="6"/>
        <v>2999.8570371000001</v>
      </c>
      <c r="K394" s="15" t="s">
        <v>16</v>
      </c>
      <c r="L394" s="13"/>
      <c r="M394" s="13"/>
      <c r="N394" s="14"/>
    </row>
    <row r="395" spans="1:14" x14ac:dyDescent="0.35">
      <c r="A395" s="16" t="s">
        <v>11</v>
      </c>
      <c r="B395" s="13" t="s">
        <v>12</v>
      </c>
      <c r="C395" s="12">
        <v>44077</v>
      </c>
      <c r="D395" s="8">
        <v>47.241999999999997</v>
      </c>
      <c r="E395" s="8">
        <v>42.333300000000001</v>
      </c>
      <c r="F395" s="13"/>
      <c r="G395" s="13" t="s">
        <v>13</v>
      </c>
      <c r="H395" s="13" t="s">
        <v>14</v>
      </c>
      <c r="I395" s="13" t="s">
        <v>15</v>
      </c>
      <c r="J395" s="17">
        <f t="shared" si="6"/>
        <v>1999.9097586</v>
      </c>
      <c r="K395" s="15" t="s">
        <v>16</v>
      </c>
      <c r="L395" s="13"/>
      <c r="M395" s="13"/>
      <c r="N395" s="14"/>
    </row>
    <row r="396" spans="1:14" x14ac:dyDescent="0.35">
      <c r="A396" s="16" t="s">
        <v>20</v>
      </c>
      <c r="B396" s="13" t="s">
        <v>34</v>
      </c>
      <c r="C396" s="12">
        <v>44077</v>
      </c>
      <c r="D396" s="8">
        <v>9.9849999999999994</v>
      </c>
      <c r="E396" s="8">
        <v>100.1473</v>
      </c>
      <c r="F396" s="13"/>
      <c r="G396" s="13" t="s">
        <v>13</v>
      </c>
      <c r="H396" s="13" t="s">
        <v>35</v>
      </c>
      <c r="I396" s="13" t="s">
        <v>36</v>
      </c>
      <c r="J396" s="17">
        <f t="shared" si="6"/>
        <v>999.97079049999991</v>
      </c>
      <c r="K396" s="15" t="s">
        <v>16</v>
      </c>
      <c r="L396" s="13"/>
      <c r="M396" s="13"/>
      <c r="N396" s="14"/>
    </row>
    <row r="397" spans="1:14" x14ac:dyDescent="0.35">
      <c r="A397" s="16" t="s">
        <v>20</v>
      </c>
      <c r="B397" s="13" t="s">
        <v>21</v>
      </c>
      <c r="C397" s="12">
        <v>44077</v>
      </c>
      <c r="D397" s="8">
        <v>114.946</v>
      </c>
      <c r="E397" s="8">
        <v>34.797199999999997</v>
      </c>
      <c r="F397" s="13"/>
      <c r="G397" s="13" t="s">
        <v>13</v>
      </c>
      <c r="H397" s="13" t="s">
        <v>22</v>
      </c>
      <c r="I397" s="13" t="s">
        <v>23</v>
      </c>
      <c r="J397" s="17">
        <f t="shared" si="6"/>
        <v>3999.7989511999995</v>
      </c>
      <c r="K397" s="15" t="s">
        <v>16</v>
      </c>
      <c r="L397" s="13"/>
      <c r="M397" s="13"/>
      <c r="N397" s="14"/>
    </row>
    <row r="398" spans="1:14" x14ac:dyDescent="0.35">
      <c r="A398" s="16" t="s">
        <v>33</v>
      </c>
      <c r="B398" s="13" t="s">
        <v>25</v>
      </c>
      <c r="C398" s="12">
        <v>44077</v>
      </c>
      <c r="D398" s="8">
        <v>30.312000000000001</v>
      </c>
      <c r="E398" s="8">
        <v>32.988300000000002</v>
      </c>
      <c r="F398" s="13"/>
      <c r="G398" s="13" t="s">
        <v>31</v>
      </c>
      <c r="H398" s="13" t="s">
        <v>14</v>
      </c>
      <c r="I398" s="13" t="s">
        <v>26</v>
      </c>
      <c r="J398" s="17">
        <f t="shared" si="6"/>
        <v>999.94134960000008</v>
      </c>
      <c r="K398" s="15" t="s">
        <v>32</v>
      </c>
      <c r="L398" s="13"/>
      <c r="M398" s="13"/>
      <c r="N398" s="14"/>
    </row>
    <row r="399" spans="1:14" x14ac:dyDescent="0.35">
      <c r="A399" s="16">
        <v>18917658</v>
      </c>
      <c r="B399" s="13" t="s">
        <v>12</v>
      </c>
      <c r="C399" s="12">
        <v>44077</v>
      </c>
      <c r="D399" s="8">
        <v>23.620999999999999</v>
      </c>
      <c r="E399" s="8">
        <v>42.333300000000001</v>
      </c>
      <c r="F399" s="13"/>
      <c r="G399" s="13" t="s">
        <v>31</v>
      </c>
      <c r="H399" s="13" t="s">
        <v>14</v>
      </c>
      <c r="I399" s="13" t="s">
        <v>15</v>
      </c>
      <c r="J399" s="17">
        <f t="shared" si="6"/>
        <v>999.95487930000002</v>
      </c>
      <c r="K399" s="15" t="s">
        <v>32</v>
      </c>
      <c r="L399" s="13"/>
      <c r="M399" s="13"/>
      <c r="N399" s="14"/>
    </row>
    <row r="400" spans="1:14" x14ac:dyDescent="0.35">
      <c r="A400" s="16" t="s">
        <v>24</v>
      </c>
      <c r="B400" s="13" t="s">
        <v>25</v>
      </c>
      <c r="C400" s="12">
        <v>44078</v>
      </c>
      <c r="D400" s="8">
        <v>62.152000000000001</v>
      </c>
      <c r="E400" s="8">
        <v>32.177599999999998</v>
      </c>
      <c r="F400" s="13"/>
      <c r="G400" s="13" t="s">
        <v>13</v>
      </c>
      <c r="H400" s="13" t="s">
        <v>14</v>
      </c>
      <c r="I400" s="13" t="s">
        <v>26</v>
      </c>
      <c r="J400" s="17">
        <f t="shared" si="6"/>
        <v>1999.9021951999998</v>
      </c>
      <c r="K400" s="15" t="s">
        <v>16</v>
      </c>
      <c r="L400" s="13"/>
      <c r="M400" s="13"/>
      <c r="N400" s="14"/>
    </row>
    <row r="401" spans="1:14" x14ac:dyDescent="0.35">
      <c r="A401" s="16" t="s">
        <v>11</v>
      </c>
      <c r="B401" s="13" t="s">
        <v>12</v>
      </c>
      <c r="C401" s="12">
        <v>44078</v>
      </c>
      <c r="D401" s="8">
        <v>48.082000000000001</v>
      </c>
      <c r="E401" s="8">
        <v>41.5931</v>
      </c>
      <c r="F401" s="13"/>
      <c r="G401" s="13" t="s">
        <v>13</v>
      </c>
      <c r="H401" s="13" t="s">
        <v>14</v>
      </c>
      <c r="I401" s="13" t="s">
        <v>15</v>
      </c>
      <c r="J401" s="17">
        <f t="shared" si="6"/>
        <v>1999.8794342000001</v>
      </c>
      <c r="K401" s="15" t="s">
        <v>16</v>
      </c>
      <c r="L401" s="13"/>
      <c r="M401" s="13"/>
      <c r="N401" s="14"/>
    </row>
    <row r="402" spans="1:14" x14ac:dyDescent="0.35">
      <c r="A402" s="16" t="s">
        <v>20</v>
      </c>
      <c r="B402" s="13" t="s">
        <v>21</v>
      </c>
      <c r="C402" s="12">
        <v>44078</v>
      </c>
      <c r="D402" s="8">
        <v>58.252000000000002</v>
      </c>
      <c r="E402" s="8">
        <v>34.332099999999997</v>
      </c>
      <c r="F402" s="13"/>
      <c r="G402" s="13" t="s">
        <v>13</v>
      </c>
      <c r="H402" s="13" t="s">
        <v>22</v>
      </c>
      <c r="I402" s="13" t="s">
        <v>23</v>
      </c>
      <c r="J402" s="17">
        <f t="shared" si="6"/>
        <v>1999.9134892</v>
      </c>
      <c r="K402" s="15" t="s">
        <v>16</v>
      </c>
      <c r="L402" s="13"/>
      <c r="M402" s="13"/>
      <c r="N402" s="14"/>
    </row>
    <row r="403" spans="1:14" x14ac:dyDescent="0.35">
      <c r="A403" s="16" t="s">
        <v>24</v>
      </c>
      <c r="B403" s="13" t="s">
        <v>25</v>
      </c>
      <c r="C403" s="12">
        <v>44083</v>
      </c>
      <c r="D403" s="8">
        <v>95.494</v>
      </c>
      <c r="E403" s="8">
        <v>31.414100000000001</v>
      </c>
      <c r="F403" s="13"/>
      <c r="G403" s="13" t="s">
        <v>13</v>
      </c>
      <c r="H403" s="13" t="s">
        <v>14</v>
      </c>
      <c r="I403" s="13" t="s">
        <v>26</v>
      </c>
      <c r="J403" s="17">
        <f t="shared" si="6"/>
        <v>2999.8580654000002</v>
      </c>
      <c r="K403" s="15" t="s">
        <v>16</v>
      </c>
      <c r="L403" s="13"/>
      <c r="M403" s="13"/>
      <c r="N403" s="14"/>
    </row>
    <row r="404" spans="1:14" x14ac:dyDescent="0.35">
      <c r="A404" s="16" t="s">
        <v>11</v>
      </c>
      <c r="B404" s="13" t="s">
        <v>12</v>
      </c>
      <c r="C404" s="12">
        <v>44083</v>
      </c>
      <c r="D404" s="8">
        <v>48.694000000000003</v>
      </c>
      <c r="E404" s="8">
        <v>41.070700000000002</v>
      </c>
      <c r="F404" s="13"/>
      <c r="G404" s="13" t="s">
        <v>13</v>
      </c>
      <c r="H404" s="13" t="s">
        <v>14</v>
      </c>
      <c r="I404" s="13" t="s">
        <v>15</v>
      </c>
      <c r="J404" s="17">
        <f t="shared" si="6"/>
        <v>1999.8966658000002</v>
      </c>
      <c r="K404" s="15" t="s">
        <v>16</v>
      </c>
      <c r="L404" s="13"/>
      <c r="M404" s="13"/>
      <c r="N404" s="14"/>
    </row>
    <row r="405" spans="1:14" x14ac:dyDescent="0.35">
      <c r="A405" s="16" t="s">
        <v>20</v>
      </c>
      <c r="B405" s="13" t="s">
        <v>21</v>
      </c>
      <c r="C405" s="12">
        <v>44083</v>
      </c>
      <c r="D405" s="8">
        <v>87.385000000000005</v>
      </c>
      <c r="E405" s="8">
        <v>34.329099999999997</v>
      </c>
      <c r="F405" s="13"/>
      <c r="G405" s="13" t="s">
        <v>13</v>
      </c>
      <c r="H405" s="13" t="s">
        <v>22</v>
      </c>
      <c r="I405" s="13" t="s">
        <v>23</v>
      </c>
      <c r="J405" s="17">
        <f t="shared" si="6"/>
        <v>2999.8484034999997</v>
      </c>
      <c r="K405" s="15" t="s">
        <v>16</v>
      </c>
      <c r="L405" s="13"/>
      <c r="M405" s="13"/>
      <c r="N405" s="14"/>
    </row>
    <row r="406" spans="1:14" x14ac:dyDescent="0.35">
      <c r="A406" s="16" t="s">
        <v>17</v>
      </c>
      <c r="B406" s="13" t="s">
        <v>18</v>
      </c>
      <c r="C406" s="12">
        <v>44084</v>
      </c>
      <c r="D406" s="8">
        <v>68.207999999999998</v>
      </c>
      <c r="E406" s="8">
        <v>43.980600000000003</v>
      </c>
      <c r="F406" s="13"/>
      <c r="G406" s="13" t="s">
        <v>13</v>
      </c>
      <c r="H406" s="13"/>
      <c r="I406" s="13" t="s">
        <v>19</v>
      </c>
      <c r="J406" s="17">
        <f t="shared" si="6"/>
        <v>2999.8287648</v>
      </c>
      <c r="K406" s="15" t="s">
        <v>16</v>
      </c>
      <c r="L406" s="13"/>
      <c r="M406" s="13"/>
      <c r="N406" s="14"/>
    </row>
    <row r="407" spans="1:14" x14ac:dyDescent="0.35">
      <c r="A407" s="16" t="s">
        <v>37</v>
      </c>
      <c r="B407" s="13" t="s">
        <v>25</v>
      </c>
      <c r="C407" s="12">
        <v>44084</v>
      </c>
      <c r="D407" s="8">
        <v>31.491</v>
      </c>
      <c r="E407" s="8">
        <v>31.753900000000002</v>
      </c>
      <c r="F407" s="13"/>
      <c r="G407" s="13" t="s">
        <v>38</v>
      </c>
      <c r="H407" s="13"/>
      <c r="I407" s="13" t="s">
        <v>26</v>
      </c>
      <c r="J407" s="17">
        <f t="shared" si="6"/>
        <v>999.96206490000009</v>
      </c>
      <c r="K407" s="15" t="s">
        <v>16</v>
      </c>
      <c r="L407" s="13"/>
      <c r="M407" s="13"/>
      <c r="N407" s="14"/>
    </row>
    <row r="408" spans="1:14" x14ac:dyDescent="0.35">
      <c r="A408" s="16" t="s">
        <v>37</v>
      </c>
      <c r="B408" s="13" t="s">
        <v>25</v>
      </c>
      <c r="C408" s="12">
        <v>44085</v>
      </c>
      <c r="D408" s="8">
        <v>885.84400000000005</v>
      </c>
      <c r="E408" s="8">
        <v>31.6067</v>
      </c>
      <c r="F408" s="13"/>
      <c r="G408" s="13" t="s">
        <v>38</v>
      </c>
      <c r="H408" s="13"/>
      <c r="I408" s="13" t="s">
        <v>26</v>
      </c>
      <c r="J408" s="17">
        <f t="shared" si="6"/>
        <v>27998.6055548</v>
      </c>
      <c r="K408" s="15" t="s">
        <v>16</v>
      </c>
      <c r="L408" s="13"/>
      <c r="M408" s="13"/>
      <c r="N408" s="14"/>
    </row>
    <row r="409" spans="1:14" x14ac:dyDescent="0.35">
      <c r="A409" s="16" t="s">
        <v>20</v>
      </c>
      <c r="B409" s="13" t="s">
        <v>34</v>
      </c>
      <c r="C409" s="12">
        <v>44085</v>
      </c>
      <c r="D409" s="8">
        <v>10.016999999999999</v>
      </c>
      <c r="E409" s="8">
        <v>99.822900000000004</v>
      </c>
      <c r="F409" s="13"/>
      <c r="G409" s="13" t="s">
        <v>13</v>
      </c>
      <c r="H409" s="13" t="s">
        <v>35</v>
      </c>
      <c r="I409" s="13" t="s">
        <v>36</v>
      </c>
      <c r="J409" s="17">
        <f t="shared" si="6"/>
        <v>999.92598929999997</v>
      </c>
      <c r="K409" s="15" t="s">
        <v>16</v>
      </c>
      <c r="L409" s="13"/>
      <c r="M409" s="13"/>
      <c r="N409" s="14"/>
    </row>
    <row r="410" spans="1:14" x14ac:dyDescent="0.35">
      <c r="A410" s="16" t="s">
        <v>37</v>
      </c>
      <c r="B410" s="13" t="s">
        <v>25</v>
      </c>
      <c r="C410" s="12">
        <v>44091</v>
      </c>
      <c r="D410" s="8">
        <v>1747.35</v>
      </c>
      <c r="E410" s="8">
        <v>32.619199999999999</v>
      </c>
      <c r="F410" s="13"/>
      <c r="G410" s="13" t="s">
        <v>38</v>
      </c>
      <c r="H410" s="13"/>
      <c r="I410" s="13" t="s">
        <v>26</v>
      </c>
      <c r="J410" s="17">
        <f t="shared" si="6"/>
        <v>56997.159119999997</v>
      </c>
      <c r="K410" s="15" t="s">
        <v>16</v>
      </c>
      <c r="L410" s="13"/>
      <c r="M410" s="13"/>
      <c r="N410" s="14"/>
    </row>
    <row r="411" spans="1:14" x14ac:dyDescent="0.35">
      <c r="A411" s="16" t="s">
        <v>11</v>
      </c>
      <c r="B411" s="13" t="s">
        <v>12</v>
      </c>
      <c r="C411" s="12">
        <v>44091</v>
      </c>
      <c r="D411" s="8">
        <v>47.628</v>
      </c>
      <c r="E411" s="8">
        <v>42.094999999999999</v>
      </c>
      <c r="F411" s="13"/>
      <c r="G411" s="13" t="s">
        <v>13</v>
      </c>
      <c r="H411" s="13" t="s">
        <v>14</v>
      </c>
      <c r="I411" s="13" t="s">
        <v>15</v>
      </c>
      <c r="J411" s="17">
        <f t="shared" si="6"/>
        <v>2004.90066</v>
      </c>
      <c r="K411" s="15" t="s">
        <v>16</v>
      </c>
      <c r="L411" s="13"/>
      <c r="M411" s="13"/>
      <c r="N411" s="14"/>
    </row>
    <row r="412" spans="1:14" x14ac:dyDescent="0.35">
      <c r="A412" s="16" t="s">
        <v>20</v>
      </c>
      <c r="B412" s="13" t="s">
        <v>34</v>
      </c>
      <c r="C412" s="12">
        <v>44091</v>
      </c>
      <c r="D412" s="8">
        <v>19.968</v>
      </c>
      <c r="E412" s="8">
        <v>100.1564</v>
      </c>
      <c r="F412" s="13"/>
      <c r="G412" s="13" t="s">
        <v>13</v>
      </c>
      <c r="H412" s="13" t="s">
        <v>35</v>
      </c>
      <c r="I412" s="13" t="s">
        <v>36</v>
      </c>
      <c r="J412" s="17">
        <f t="shared" si="6"/>
        <v>1999.9229952000001</v>
      </c>
      <c r="K412" s="15" t="s">
        <v>16</v>
      </c>
      <c r="L412" s="13"/>
      <c r="M412" s="13"/>
      <c r="N412" s="14"/>
    </row>
    <row r="413" spans="1:14" x14ac:dyDescent="0.35">
      <c r="A413" s="16" t="s">
        <v>20</v>
      </c>
      <c r="B413" s="13" t="s">
        <v>21</v>
      </c>
      <c r="C413" s="12">
        <v>44091</v>
      </c>
      <c r="D413" s="8">
        <v>140.49100000000001</v>
      </c>
      <c r="E413" s="8">
        <v>35.587800000000001</v>
      </c>
      <c r="F413" s="13"/>
      <c r="G413" s="13" t="s">
        <v>13</v>
      </c>
      <c r="H413" s="13" t="s">
        <v>22</v>
      </c>
      <c r="I413" s="13" t="s">
        <v>23</v>
      </c>
      <c r="J413" s="17">
        <f t="shared" si="6"/>
        <v>4999.7656098000007</v>
      </c>
      <c r="K413" s="15" t="s">
        <v>16</v>
      </c>
      <c r="L413" s="13"/>
      <c r="M413" s="13"/>
      <c r="N413" s="14"/>
    </row>
    <row r="414" spans="1:14" x14ac:dyDescent="0.35">
      <c r="A414" s="16" t="s">
        <v>37</v>
      </c>
      <c r="B414" s="13" t="s">
        <v>25</v>
      </c>
      <c r="C414" s="12">
        <v>44095</v>
      </c>
      <c r="D414" s="8">
        <v>1379.319</v>
      </c>
      <c r="E414" s="8">
        <v>31.898199999999999</v>
      </c>
      <c r="F414" s="13"/>
      <c r="G414" s="13" t="s">
        <v>38</v>
      </c>
      <c r="H414" s="13"/>
      <c r="I414" s="13" t="s">
        <v>26</v>
      </c>
      <c r="J414" s="17">
        <f t="shared" si="6"/>
        <v>43997.793325799998</v>
      </c>
      <c r="K414" s="15" t="s">
        <v>16</v>
      </c>
      <c r="L414" s="13"/>
      <c r="M414" s="13"/>
      <c r="N414" s="14"/>
    </row>
    <row r="415" spans="1:14" x14ac:dyDescent="0.35">
      <c r="A415" s="16" t="s">
        <v>11</v>
      </c>
      <c r="B415" s="13" t="s">
        <v>12</v>
      </c>
      <c r="C415" s="12">
        <v>44095</v>
      </c>
      <c r="D415" s="8">
        <v>48.872999999999998</v>
      </c>
      <c r="E415" s="8">
        <v>40.920099999999998</v>
      </c>
      <c r="F415" s="13"/>
      <c r="G415" s="13" t="s">
        <v>13</v>
      </c>
      <c r="H415" s="13" t="s">
        <v>14</v>
      </c>
      <c r="I415" s="13" t="s">
        <v>15</v>
      </c>
      <c r="J415" s="17">
        <f t="shared" si="6"/>
        <v>1999.8880472999997</v>
      </c>
      <c r="K415" s="15" t="s">
        <v>16</v>
      </c>
      <c r="L415" s="13"/>
      <c r="M415" s="13"/>
      <c r="N415" s="14"/>
    </row>
    <row r="416" spans="1:14" x14ac:dyDescent="0.35">
      <c r="A416" s="16" t="s">
        <v>20</v>
      </c>
      <c r="B416" s="13" t="s">
        <v>21</v>
      </c>
      <c r="C416" s="12">
        <v>44095</v>
      </c>
      <c r="D416" s="8">
        <v>57.414000000000001</v>
      </c>
      <c r="E416" s="8">
        <v>34.832999999999998</v>
      </c>
      <c r="F416" s="13"/>
      <c r="G416" s="13" t="s">
        <v>13</v>
      </c>
      <c r="H416" s="13" t="s">
        <v>22</v>
      </c>
      <c r="I416" s="13" t="s">
        <v>23</v>
      </c>
      <c r="J416" s="17">
        <f t="shared" si="6"/>
        <v>1999.9018619999999</v>
      </c>
      <c r="K416" s="15" t="s">
        <v>16</v>
      </c>
      <c r="L416" s="13"/>
      <c r="M416" s="13"/>
      <c r="N416" s="14"/>
    </row>
    <row r="417" spans="1:14" x14ac:dyDescent="0.35">
      <c r="A417" s="16" t="s">
        <v>37</v>
      </c>
      <c r="B417" s="13" t="s">
        <v>25</v>
      </c>
      <c r="C417" s="12">
        <v>44097</v>
      </c>
      <c r="D417" s="8">
        <v>883.351</v>
      </c>
      <c r="E417" s="8">
        <v>31.7072</v>
      </c>
      <c r="F417" s="13"/>
      <c r="G417" s="13" t="s">
        <v>38</v>
      </c>
      <c r="H417" s="13"/>
      <c r="I417" s="13" t="s">
        <v>26</v>
      </c>
      <c r="J417" s="17">
        <f t="shared" si="6"/>
        <v>28008.586827200001</v>
      </c>
      <c r="K417" s="15" t="s">
        <v>16</v>
      </c>
      <c r="L417" s="13"/>
      <c r="M417" s="13"/>
      <c r="N417" s="14"/>
    </row>
    <row r="418" spans="1:14" x14ac:dyDescent="0.35">
      <c r="A418" s="16" t="s">
        <v>37</v>
      </c>
      <c r="B418" s="13" t="s">
        <v>25</v>
      </c>
      <c r="C418" s="12">
        <v>44098</v>
      </c>
      <c r="D418" s="8">
        <v>4798.5619999999999</v>
      </c>
      <c r="E418" s="8">
        <v>31.2578</v>
      </c>
      <c r="F418" s="13"/>
      <c r="G418" s="13" t="s">
        <v>38</v>
      </c>
      <c r="H418" s="13"/>
      <c r="I418" s="13" t="s">
        <v>26</v>
      </c>
      <c r="J418" s="17">
        <f t="shared" si="6"/>
        <v>149992.49128359999</v>
      </c>
      <c r="K418" s="15" t="s">
        <v>16</v>
      </c>
      <c r="L418" s="13"/>
      <c r="M418" s="13"/>
      <c r="N418" s="14"/>
    </row>
    <row r="419" spans="1:14" x14ac:dyDescent="0.35">
      <c r="A419" s="16" t="s">
        <v>11</v>
      </c>
      <c r="B419" s="13" t="s">
        <v>12</v>
      </c>
      <c r="C419" s="12">
        <v>44098</v>
      </c>
      <c r="D419" s="8">
        <v>25.395</v>
      </c>
      <c r="E419" s="8">
        <v>39.375599999999999</v>
      </c>
      <c r="F419" s="13"/>
      <c r="G419" s="13" t="s">
        <v>13</v>
      </c>
      <c r="H419" s="13" t="s">
        <v>14</v>
      </c>
      <c r="I419" s="13" t="s">
        <v>15</v>
      </c>
      <c r="J419" s="17">
        <f t="shared" si="6"/>
        <v>999.94336199999998</v>
      </c>
      <c r="K419" s="15" t="s">
        <v>16</v>
      </c>
      <c r="L419" s="13"/>
      <c r="M419" s="13"/>
      <c r="N419" s="14"/>
    </row>
    <row r="420" spans="1:14" x14ac:dyDescent="0.35">
      <c r="A420" s="16" t="s">
        <v>20</v>
      </c>
      <c r="B420" s="13" t="s">
        <v>34</v>
      </c>
      <c r="C420" s="12">
        <v>44098</v>
      </c>
      <c r="D420" s="8">
        <v>10.635</v>
      </c>
      <c r="E420" s="8">
        <v>94.117000000000004</v>
      </c>
      <c r="F420" s="13"/>
      <c r="G420" s="13" t="s">
        <v>13</v>
      </c>
      <c r="H420" s="13" t="s">
        <v>35</v>
      </c>
      <c r="I420" s="13" t="s">
        <v>36</v>
      </c>
      <c r="J420" s="17">
        <f t="shared" si="6"/>
        <v>1000.934295</v>
      </c>
      <c r="K420" s="15" t="s">
        <v>16</v>
      </c>
      <c r="L420" s="13"/>
      <c r="M420" s="13"/>
      <c r="N420" s="14"/>
    </row>
    <row r="421" spans="1:14" x14ac:dyDescent="0.35">
      <c r="A421" s="16" t="s">
        <v>20</v>
      </c>
      <c r="B421" s="13" t="s">
        <v>21</v>
      </c>
      <c r="C421" s="12">
        <v>44098</v>
      </c>
      <c r="D421" s="8">
        <v>29.454999999999998</v>
      </c>
      <c r="E421" s="8">
        <v>33.9482</v>
      </c>
      <c r="F421" s="13"/>
      <c r="G421" s="13" t="s">
        <v>13</v>
      </c>
      <c r="H421" s="13" t="s">
        <v>22</v>
      </c>
      <c r="I421" s="13" t="s">
        <v>23</v>
      </c>
      <c r="J421" s="17">
        <f t="shared" si="6"/>
        <v>999.94423099999995</v>
      </c>
      <c r="K421" s="15" t="s">
        <v>16</v>
      </c>
      <c r="L421" s="13"/>
      <c r="M421" s="13"/>
      <c r="N421" s="14"/>
    </row>
    <row r="422" spans="1:14" x14ac:dyDescent="0.35">
      <c r="A422" s="16" t="s">
        <v>17</v>
      </c>
      <c r="B422" s="13" t="s">
        <v>18</v>
      </c>
      <c r="C422" s="12">
        <v>44116</v>
      </c>
      <c r="D422" s="8">
        <v>67.677000000000007</v>
      </c>
      <c r="E422" s="8">
        <v>44.325699999999998</v>
      </c>
      <c r="F422" s="13"/>
      <c r="G422" s="13" t="s">
        <v>13</v>
      </c>
      <c r="H422" s="13"/>
      <c r="I422" s="13" t="s">
        <v>19</v>
      </c>
      <c r="J422" s="17">
        <f t="shared" si="6"/>
        <v>2999.8303989000001</v>
      </c>
      <c r="K422" s="15" t="s">
        <v>16</v>
      </c>
      <c r="L422" s="13"/>
      <c r="M422" s="13"/>
      <c r="N422" s="14"/>
    </row>
    <row r="423" spans="1:14" x14ac:dyDescent="0.35">
      <c r="A423" s="16" t="s">
        <v>20</v>
      </c>
      <c r="B423" s="13" t="s">
        <v>34</v>
      </c>
      <c r="C423" s="12">
        <v>44116</v>
      </c>
      <c r="D423" s="8">
        <v>9.5830000000000002</v>
      </c>
      <c r="E423" s="8">
        <v>104.3511</v>
      </c>
      <c r="F423" s="13"/>
      <c r="G423" s="13" t="s">
        <v>13</v>
      </c>
      <c r="H423" s="13" t="s">
        <v>35</v>
      </c>
      <c r="I423" s="13" t="s">
        <v>36</v>
      </c>
      <c r="J423" s="17">
        <f t="shared" si="6"/>
        <v>999.99659130000009</v>
      </c>
      <c r="K423" s="15" t="s">
        <v>16</v>
      </c>
      <c r="L423" s="13"/>
      <c r="M423" s="13"/>
      <c r="N423" s="14"/>
    </row>
    <row r="424" spans="1:14" x14ac:dyDescent="0.35">
      <c r="A424" s="16" t="s">
        <v>37</v>
      </c>
      <c r="B424" s="13" t="s">
        <v>25</v>
      </c>
      <c r="C424" s="12">
        <v>44118</v>
      </c>
      <c r="D424" s="8">
        <v>735.88099999999997</v>
      </c>
      <c r="E424" s="8">
        <v>33.978000000000002</v>
      </c>
      <c r="F424" s="13"/>
      <c r="G424" s="13" t="s">
        <v>38</v>
      </c>
      <c r="H424" s="13"/>
      <c r="I424" s="13" t="s">
        <v>26</v>
      </c>
      <c r="J424" s="17">
        <f t="shared" si="6"/>
        <v>25003.764618000001</v>
      </c>
      <c r="K424" s="15" t="s">
        <v>16</v>
      </c>
      <c r="L424" s="13"/>
      <c r="M424" s="13"/>
      <c r="N424" s="14"/>
    </row>
    <row r="425" spans="1:14" x14ac:dyDescent="0.35">
      <c r="A425" s="16" t="s">
        <v>11</v>
      </c>
      <c r="B425" s="13" t="s">
        <v>12</v>
      </c>
      <c r="C425" s="12">
        <v>44118</v>
      </c>
      <c r="D425" s="8">
        <v>46.558999999999997</v>
      </c>
      <c r="E425" s="8">
        <v>42.953899999999997</v>
      </c>
      <c r="F425" s="13"/>
      <c r="G425" s="13" t="s">
        <v>13</v>
      </c>
      <c r="H425" s="13" t="s">
        <v>14</v>
      </c>
      <c r="I425" s="13" t="s">
        <v>15</v>
      </c>
      <c r="J425" s="17">
        <f t="shared" si="6"/>
        <v>1999.8906300999997</v>
      </c>
      <c r="K425" s="15" t="s">
        <v>16</v>
      </c>
      <c r="L425" s="13"/>
      <c r="M425" s="13"/>
      <c r="N425" s="14"/>
    </row>
    <row r="426" spans="1:14" x14ac:dyDescent="0.35">
      <c r="A426" s="16" t="s">
        <v>20</v>
      </c>
      <c r="B426" s="13" t="s">
        <v>21</v>
      </c>
      <c r="C426" s="12">
        <v>44118</v>
      </c>
      <c r="D426" s="8">
        <v>55.161999999999999</v>
      </c>
      <c r="E426" s="8">
        <v>36.291600000000003</v>
      </c>
      <c r="F426" s="13"/>
      <c r="G426" s="13" t="s">
        <v>13</v>
      </c>
      <c r="H426" s="13" t="s">
        <v>22</v>
      </c>
      <c r="I426" s="13" t="s">
        <v>23</v>
      </c>
      <c r="J426" s="17">
        <f t="shared" si="6"/>
        <v>2001.9172392</v>
      </c>
      <c r="K426" s="15" t="s">
        <v>16</v>
      </c>
      <c r="L426" s="13"/>
      <c r="M426" s="13"/>
      <c r="N426" s="14"/>
    </row>
    <row r="427" spans="1:14" x14ac:dyDescent="0.35">
      <c r="A427" s="16">
        <v>79931510915</v>
      </c>
      <c r="B427" s="13" t="s">
        <v>39</v>
      </c>
      <c r="C427" s="12">
        <v>44126</v>
      </c>
      <c r="D427" s="8">
        <v>46.283000000000001</v>
      </c>
      <c r="E427" s="8">
        <v>64.814999999999998</v>
      </c>
      <c r="F427" s="13"/>
      <c r="G427" s="13" t="s">
        <v>38</v>
      </c>
      <c r="H427" s="13" t="s">
        <v>40</v>
      </c>
      <c r="I427" s="13" t="s">
        <v>41</v>
      </c>
      <c r="J427" s="17">
        <f t="shared" si="6"/>
        <v>2999.832645</v>
      </c>
      <c r="K427" s="15" t="s">
        <v>16</v>
      </c>
      <c r="L427" s="13"/>
      <c r="M427" s="13"/>
      <c r="N427" s="14"/>
    </row>
    <row r="428" spans="1:14" x14ac:dyDescent="0.35">
      <c r="A428" s="16" t="s">
        <v>37</v>
      </c>
      <c r="B428" s="13" t="s">
        <v>25</v>
      </c>
      <c r="C428" s="12">
        <v>44130</v>
      </c>
      <c r="D428" s="8">
        <v>1267.7850000000001</v>
      </c>
      <c r="E428" s="8">
        <v>33.127000000000002</v>
      </c>
      <c r="F428" s="13"/>
      <c r="G428" s="13" t="s">
        <v>38</v>
      </c>
      <c r="H428" s="13"/>
      <c r="I428" s="13" t="s">
        <v>26</v>
      </c>
      <c r="J428" s="17">
        <f t="shared" si="6"/>
        <v>41997.913695000003</v>
      </c>
      <c r="K428" s="15" t="s">
        <v>16</v>
      </c>
      <c r="L428" s="13"/>
      <c r="M428" s="13"/>
      <c r="N428" s="14"/>
    </row>
    <row r="429" spans="1:14" x14ac:dyDescent="0.35">
      <c r="A429" s="16" t="s">
        <v>11</v>
      </c>
      <c r="B429" s="13" t="s">
        <v>12</v>
      </c>
      <c r="C429" s="12">
        <v>44130</v>
      </c>
      <c r="D429" s="8">
        <v>47.015999999999998</v>
      </c>
      <c r="E429" s="8">
        <v>42.536700000000003</v>
      </c>
      <c r="F429" s="13"/>
      <c r="G429" s="13" t="s">
        <v>13</v>
      </c>
      <c r="H429" s="13" t="s">
        <v>14</v>
      </c>
      <c r="I429" s="13" t="s">
        <v>15</v>
      </c>
      <c r="J429" s="17">
        <f t="shared" si="6"/>
        <v>1999.9054872000002</v>
      </c>
      <c r="K429" s="15" t="s">
        <v>16</v>
      </c>
      <c r="L429" s="13"/>
      <c r="M429" s="13"/>
      <c r="N429" s="14"/>
    </row>
    <row r="430" spans="1:14" x14ac:dyDescent="0.35">
      <c r="A430" s="16" t="s">
        <v>20</v>
      </c>
      <c r="B430" s="13" t="s">
        <v>34</v>
      </c>
      <c r="C430" s="12">
        <v>44130</v>
      </c>
      <c r="D430" s="8">
        <v>9.6760000000000002</v>
      </c>
      <c r="E430" s="8">
        <v>103.3463</v>
      </c>
      <c r="F430" s="13"/>
      <c r="G430" s="13" t="s">
        <v>13</v>
      </c>
      <c r="H430" s="13" t="s">
        <v>35</v>
      </c>
      <c r="I430" s="13" t="s">
        <v>36</v>
      </c>
      <c r="J430" s="17">
        <f t="shared" si="6"/>
        <v>999.97879880000005</v>
      </c>
      <c r="K430" s="15" t="s">
        <v>16</v>
      </c>
      <c r="L430" s="13"/>
      <c r="M430" s="13"/>
      <c r="N430" s="14"/>
    </row>
    <row r="431" spans="1:14" x14ac:dyDescent="0.35">
      <c r="A431" s="16" t="s">
        <v>20</v>
      </c>
      <c r="B431" s="13" t="s">
        <v>21</v>
      </c>
      <c r="C431" s="12">
        <v>44130</v>
      </c>
      <c r="D431" s="8">
        <v>112.229</v>
      </c>
      <c r="E431" s="8">
        <v>35.639600000000002</v>
      </c>
      <c r="F431" s="13"/>
      <c r="G431" s="13" t="s">
        <v>13</v>
      </c>
      <c r="H431" s="13" t="s">
        <v>22</v>
      </c>
      <c r="I431" s="13" t="s">
        <v>23</v>
      </c>
      <c r="J431" s="17">
        <f t="shared" si="6"/>
        <v>3999.7966684000003</v>
      </c>
      <c r="K431" s="15" t="s">
        <v>16</v>
      </c>
      <c r="L431" s="13"/>
      <c r="M431" s="13"/>
      <c r="N431" s="14"/>
    </row>
    <row r="432" spans="1:14" x14ac:dyDescent="0.35">
      <c r="A432" s="16" t="s">
        <v>33</v>
      </c>
      <c r="B432" s="13" t="s">
        <v>25</v>
      </c>
      <c r="C432" s="12">
        <v>44130</v>
      </c>
      <c r="D432" s="8">
        <v>90.555999999999997</v>
      </c>
      <c r="E432" s="8">
        <v>33.127000000000002</v>
      </c>
      <c r="F432" s="13"/>
      <c r="G432" s="13" t="s">
        <v>31</v>
      </c>
      <c r="H432" s="13" t="s">
        <v>14</v>
      </c>
      <c r="I432" s="13" t="s">
        <v>26</v>
      </c>
      <c r="J432" s="17">
        <f t="shared" si="6"/>
        <v>2999.8486120000002</v>
      </c>
      <c r="K432" s="15" t="s">
        <v>32</v>
      </c>
      <c r="L432" s="13"/>
      <c r="M432" s="13"/>
      <c r="N432" s="14"/>
    </row>
    <row r="433" spans="1:14" x14ac:dyDescent="0.35">
      <c r="A433" s="16" t="s">
        <v>37</v>
      </c>
      <c r="B433" s="13" t="s">
        <v>25</v>
      </c>
      <c r="C433" s="12">
        <v>44132</v>
      </c>
      <c r="D433" s="8">
        <v>1305.6669999999999</v>
      </c>
      <c r="E433" s="8">
        <v>32.931699999999999</v>
      </c>
      <c r="F433" s="13"/>
      <c r="G433" s="13" t="s">
        <v>38</v>
      </c>
      <c r="H433" s="13"/>
      <c r="I433" s="13" t="s">
        <v>26</v>
      </c>
      <c r="J433" s="17">
        <f t="shared" si="6"/>
        <v>42997.833943899997</v>
      </c>
      <c r="K433" s="15" t="s">
        <v>16</v>
      </c>
      <c r="L433" s="13"/>
      <c r="M433" s="13"/>
      <c r="N433" s="14"/>
    </row>
    <row r="434" spans="1:14" x14ac:dyDescent="0.35">
      <c r="A434" s="16" t="s">
        <v>37</v>
      </c>
      <c r="B434" s="13" t="s">
        <v>25</v>
      </c>
      <c r="C434" s="12">
        <v>44133</v>
      </c>
      <c r="D434" s="8">
        <v>371.78500000000003</v>
      </c>
      <c r="E434" s="8">
        <v>32.275100000000002</v>
      </c>
      <c r="F434" s="13"/>
      <c r="G434" s="13" t="s">
        <v>38</v>
      </c>
      <c r="H434" s="13"/>
      <c r="I434" s="13" t="s">
        <v>26</v>
      </c>
      <c r="J434" s="17">
        <f t="shared" si="6"/>
        <v>11999.398053500001</v>
      </c>
      <c r="K434" s="15" t="s">
        <v>16</v>
      </c>
      <c r="L434" s="13"/>
      <c r="M434" s="13"/>
      <c r="N434" s="14"/>
    </row>
    <row r="435" spans="1:14" x14ac:dyDescent="0.35">
      <c r="A435" s="16" t="s">
        <v>11</v>
      </c>
      <c r="B435" s="13" t="s">
        <v>42</v>
      </c>
      <c r="C435" s="12">
        <v>44146</v>
      </c>
      <c r="D435" s="8">
        <v>44.997</v>
      </c>
      <c r="E435" s="8">
        <v>66.668499999999995</v>
      </c>
      <c r="F435" s="13"/>
      <c r="G435" s="13" t="s">
        <v>13</v>
      </c>
      <c r="H435" s="13" t="s">
        <v>40</v>
      </c>
      <c r="I435" s="13" t="s">
        <v>43</v>
      </c>
      <c r="J435" s="17">
        <f t="shared" si="6"/>
        <v>2999.8824944999997</v>
      </c>
      <c r="K435" s="15" t="s">
        <v>16</v>
      </c>
      <c r="L435" s="13"/>
      <c r="M435" s="13"/>
      <c r="N435" s="14"/>
    </row>
    <row r="436" spans="1:14" x14ac:dyDescent="0.35">
      <c r="A436" s="16" t="s">
        <v>20</v>
      </c>
      <c r="B436" s="13" t="s">
        <v>34</v>
      </c>
      <c r="C436" s="12">
        <v>44146</v>
      </c>
      <c r="D436" s="8">
        <v>8.92</v>
      </c>
      <c r="E436" s="8">
        <v>112.1003</v>
      </c>
      <c r="F436" s="13"/>
      <c r="G436" s="13" t="s">
        <v>13</v>
      </c>
      <c r="H436" s="13" t="s">
        <v>35</v>
      </c>
      <c r="I436" s="13" t="s">
        <v>36</v>
      </c>
      <c r="J436" s="17">
        <f t="shared" si="6"/>
        <v>999.93467600000008</v>
      </c>
      <c r="K436" s="15" t="s">
        <v>16</v>
      </c>
      <c r="L436" s="13"/>
      <c r="M436" s="13"/>
      <c r="N436" s="14"/>
    </row>
    <row r="437" spans="1:14" x14ac:dyDescent="0.35">
      <c r="A437" s="16">
        <v>79931510915</v>
      </c>
      <c r="B437" s="13" t="s">
        <v>39</v>
      </c>
      <c r="C437" s="12">
        <v>44158</v>
      </c>
      <c r="D437" s="8">
        <v>42.472999999999999</v>
      </c>
      <c r="E437" s="8">
        <v>70.63</v>
      </c>
      <c r="F437" s="13"/>
      <c r="G437" s="13" t="s">
        <v>38</v>
      </c>
      <c r="H437" s="13" t="s">
        <v>40</v>
      </c>
      <c r="I437" s="13" t="s">
        <v>41</v>
      </c>
      <c r="J437" s="17">
        <f t="shared" si="6"/>
        <v>2999.8679899999997</v>
      </c>
      <c r="K437" s="15" t="s">
        <v>16</v>
      </c>
      <c r="L437" s="13"/>
      <c r="M437" s="13"/>
      <c r="N437" s="14"/>
    </row>
    <row r="438" spans="1:14" x14ac:dyDescent="0.35">
      <c r="A438" s="16" t="s">
        <v>20</v>
      </c>
      <c r="B438" s="13" t="s">
        <v>21</v>
      </c>
      <c r="C438" s="12">
        <v>44162</v>
      </c>
      <c r="D438" s="8">
        <v>26.385999999999999</v>
      </c>
      <c r="E438" s="8">
        <v>37.896500000000003</v>
      </c>
      <c r="F438" s="13"/>
      <c r="G438" s="13" t="s">
        <v>13</v>
      </c>
      <c r="H438" s="13" t="s">
        <v>22</v>
      </c>
      <c r="I438" s="13" t="s">
        <v>23</v>
      </c>
      <c r="J438" s="17">
        <f t="shared" si="6"/>
        <v>999.937049</v>
      </c>
      <c r="K438" s="15" t="s">
        <v>16</v>
      </c>
      <c r="L438" s="13"/>
      <c r="M438" s="13"/>
      <c r="N438" s="14"/>
    </row>
    <row r="439" spans="1:14" x14ac:dyDescent="0.35">
      <c r="A439" s="16" t="s">
        <v>37</v>
      </c>
      <c r="B439" s="13" t="s">
        <v>25</v>
      </c>
      <c r="C439" s="12">
        <v>44175</v>
      </c>
      <c r="D439" s="8">
        <v>138.667</v>
      </c>
      <c r="E439" s="8">
        <v>36.055900000000001</v>
      </c>
      <c r="F439" s="13"/>
      <c r="G439" s="13" t="s">
        <v>38</v>
      </c>
      <c r="H439" s="13"/>
      <c r="I439" s="13" t="s">
        <v>26</v>
      </c>
      <c r="J439" s="17">
        <f t="shared" si="6"/>
        <v>4999.7634853</v>
      </c>
      <c r="K439" s="15" t="s">
        <v>16</v>
      </c>
      <c r="L439" s="13"/>
      <c r="M439" s="13"/>
      <c r="N439" s="14"/>
    </row>
    <row r="440" spans="1:14" x14ac:dyDescent="0.35">
      <c r="A440" s="16" t="s">
        <v>20</v>
      </c>
      <c r="B440" s="13" t="s">
        <v>21</v>
      </c>
      <c r="C440" s="12">
        <v>44175</v>
      </c>
      <c r="D440" s="8">
        <v>76.47</v>
      </c>
      <c r="E440" s="8">
        <v>39.228999999999999</v>
      </c>
      <c r="F440" s="13"/>
      <c r="G440" s="13" t="s">
        <v>13</v>
      </c>
      <c r="H440" s="13" t="s">
        <v>22</v>
      </c>
      <c r="I440" s="13" t="s">
        <v>23</v>
      </c>
      <c r="J440" s="17">
        <f t="shared" si="6"/>
        <v>2999.8416299999999</v>
      </c>
      <c r="K440" s="15" t="s">
        <v>16</v>
      </c>
      <c r="L440" s="13"/>
      <c r="M440" s="13"/>
      <c r="N440" s="14"/>
    </row>
    <row r="441" spans="1:14" x14ac:dyDescent="0.35">
      <c r="A441" s="16">
        <v>79931510915</v>
      </c>
      <c r="B441" s="13" t="s">
        <v>39</v>
      </c>
      <c r="C441" s="12">
        <v>44176</v>
      </c>
      <c r="D441" s="8">
        <v>27.056000000000001</v>
      </c>
      <c r="E441" s="8">
        <v>73.906999999999996</v>
      </c>
      <c r="F441" s="13"/>
      <c r="G441" s="13" t="s">
        <v>38</v>
      </c>
      <c r="H441" s="13" t="s">
        <v>40</v>
      </c>
      <c r="I441" s="13" t="s">
        <v>41</v>
      </c>
      <c r="J441" s="17">
        <f t="shared" si="6"/>
        <v>1999.627792</v>
      </c>
      <c r="K441" s="15" t="s">
        <v>16</v>
      </c>
      <c r="L441" s="13"/>
      <c r="M441" s="13"/>
      <c r="N441" s="14"/>
    </row>
    <row r="442" spans="1:14" x14ac:dyDescent="0.35">
      <c r="A442" s="16" t="s">
        <v>11</v>
      </c>
      <c r="B442" s="13" t="s">
        <v>42</v>
      </c>
      <c r="C442" s="12">
        <v>44176</v>
      </c>
      <c r="D442" s="8">
        <v>39.372999999999998</v>
      </c>
      <c r="E442" s="8">
        <v>76.189700000000002</v>
      </c>
      <c r="F442" s="13"/>
      <c r="G442" s="13" t="s">
        <v>13</v>
      </c>
      <c r="H442" s="13" t="s">
        <v>40</v>
      </c>
      <c r="I442" s="13" t="s">
        <v>43</v>
      </c>
      <c r="J442" s="17">
        <f t="shared" si="6"/>
        <v>2999.8170580999999</v>
      </c>
      <c r="K442" s="15" t="s">
        <v>16</v>
      </c>
      <c r="L442" s="13"/>
      <c r="M442" s="13"/>
      <c r="N442" s="14"/>
    </row>
    <row r="443" spans="1:14" x14ac:dyDescent="0.35">
      <c r="A443" s="16" t="s">
        <v>20</v>
      </c>
      <c r="B443" s="13" t="s">
        <v>34</v>
      </c>
      <c r="C443" s="12">
        <v>44176</v>
      </c>
      <c r="D443" s="8">
        <v>8.452</v>
      </c>
      <c r="E443" s="8">
        <v>118.31610000000001</v>
      </c>
      <c r="F443" s="13"/>
      <c r="G443" s="13" t="s">
        <v>13</v>
      </c>
      <c r="H443" s="13" t="s">
        <v>35</v>
      </c>
      <c r="I443" s="13" t="s">
        <v>36</v>
      </c>
      <c r="J443" s="17">
        <f t="shared" si="6"/>
        <v>1000.0076772</v>
      </c>
      <c r="K443" s="15" t="s">
        <v>16</v>
      </c>
      <c r="L443" s="13"/>
      <c r="M443" s="13"/>
      <c r="N443" s="14"/>
    </row>
    <row r="444" spans="1:14" x14ac:dyDescent="0.35">
      <c r="A444" s="16" t="s">
        <v>20</v>
      </c>
      <c r="B444" s="13" t="s">
        <v>34</v>
      </c>
      <c r="C444" s="12">
        <v>44186</v>
      </c>
      <c r="D444" s="8">
        <v>8.5489999999999995</v>
      </c>
      <c r="E444" s="8">
        <v>116.9699</v>
      </c>
      <c r="F444" s="13"/>
      <c r="G444" s="13" t="s">
        <v>13</v>
      </c>
      <c r="H444" s="13" t="s">
        <v>35</v>
      </c>
      <c r="I444" s="13" t="s">
        <v>36</v>
      </c>
      <c r="J444" s="17">
        <f t="shared" si="6"/>
        <v>999.97567509999988</v>
      </c>
      <c r="K444" s="15" t="s">
        <v>16</v>
      </c>
      <c r="L444" s="13"/>
      <c r="M444" s="13"/>
      <c r="N444" s="14"/>
    </row>
    <row r="445" spans="1:14" x14ac:dyDescent="0.35">
      <c r="A445" s="16" t="s">
        <v>20</v>
      </c>
      <c r="B445" s="13" t="s">
        <v>21</v>
      </c>
      <c r="C445" s="12">
        <v>44186</v>
      </c>
      <c r="D445" s="8">
        <v>51.777000000000001</v>
      </c>
      <c r="E445" s="8">
        <v>38.625599999999999</v>
      </c>
      <c r="F445" s="13"/>
      <c r="G445" s="13" t="s">
        <v>13</v>
      </c>
      <c r="H445" s="13" t="s">
        <v>22</v>
      </c>
      <c r="I445" s="13" t="s">
        <v>23</v>
      </c>
      <c r="J445" s="17">
        <f t="shared" si="6"/>
        <v>1999.9176912</v>
      </c>
      <c r="K445" s="15" t="s">
        <v>16</v>
      </c>
      <c r="L445" s="13"/>
      <c r="M445" s="13"/>
      <c r="N445" s="14"/>
    </row>
    <row r="446" spans="1:14" x14ac:dyDescent="0.35">
      <c r="A446" s="16" t="s">
        <v>33</v>
      </c>
      <c r="B446" s="13" t="s">
        <v>25</v>
      </c>
      <c r="C446" s="12">
        <v>44186</v>
      </c>
      <c r="D446" s="8">
        <v>28.074999999999999</v>
      </c>
      <c r="E446" s="8">
        <v>35.6173</v>
      </c>
      <c r="F446" s="13"/>
      <c r="G446" s="13" t="s">
        <v>31</v>
      </c>
      <c r="H446" s="13" t="s">
        <v>14</v>
      </c>
      <c r="I446" s="13" t="s">
        <v>26</v>
      </c>
      <c r="J446" s="17">
        <f t="shared" si="6"/>
        <v>999.95569749999993</v>
      </c>
      <c r="K446" s="15" t="s">
        <v>32</v>
      </c>
      <c r="L446" s="13"/>
      <c r="M446" s="13"/>
      <c r="N446" s="14"/>
    </row>
    <row r="447" spans="1:14" x14ac:dyDescent="0.35">
      <c r="A447" s="16">
        <v>79931510915</v>
      </c>
      <c r="B447" s="13" t="s">
        <v>39</v>
      </c>
      <c r="C447" s="12">
        <v>44187</v>
      </c>
      <c r="D447" s="8">
        <v>41.128</v>
      </c>
      <c r="E447" s="8">
        <v>72.938999999999993</v>
      </c>
      <c r="F447" s="13"/>
      <c r="G447" s="13" t="s">
        <v>38</v>
      </c>
      <c r="H447" s="13" t="s">
        <v>40</v>
      </c>
      <c r="I447" s="13" t="s">
        <v>41</v>
      </c>
      <c r="J447" s="17">
        <f t="shared" si="6"/>
        <v>2999.8351919999996</v>
      </c>
      <c r="K447" s="15" t="s">
        <v>16</v>
      </c>
      <c r="L447" s="13"/>
      <c r="M447" s="13"/>
      <c r="N447" s="14"/>
    </row>
    <row r="448" spans="1:14" x14ac:dyDescent="0.35">
      <c r="A448" s="16" t="s">
        <v>27</v>
      </c>
      <c r="B448" s="13" t="s">
        <v>28</v>
      </c>
      <c r="C448" s="12">
        <v>44193</v>
      </c>
      <c r="D448" s="8">
        <v>-3418.857</v>
      </c>
      <c r="E448" s="8">
        <v>130.19</v>
      </c>
      <c r="F448" s="13" t="s">
        <v>44</v>
      </c>
      <c r="G448" s="13" t="s">
        <v>13</v>
      </c>
      <c r="H448" s="13" t="s">
        <v>45</v>
      </c>
      <c r="I448" s="13" t="s">
        <v>30</v>
      </c>
      <c r="J448" s="17">
        <f t="shared" si="6"/>
        <v>-445100.99283</v>
      </c>
      <c r="K448" s="15" t="s">
        <v>16</v>
      </c>
      <c r="L448" s="13"/>
      <c r="M448" s="13"/>
      <c r="N448" s="14"/>
    </row>
    <row r="449" spans="1:14" x14ac:dyDescent="0.35">
      <c r="A449" s="18" t="s">
        <v>27</v>
      </c>
      <c r="B449" s="19" t="s">
        <v>28</v>
      </c>
      <c r="C449" s="20">
        <v>44193</v>
      </c>
      <c r="D449" s="21"/>
      <c r="E449" s="21"/>
      <c r="F449" s="19" t="s">
        <v>46</v>
      </c>
      <c r="G449" s="19" t="s">
        <v>13</v>
      </c>
      <c r="H449" s="19" t="s">
        <v>45</v>
      </c>
      <c r="I449" s="19" t="s">
        <v>30</v>
      </c>
      <c r="J449" s="22">
        <v>130100.98999999999</v>
      </c>
      <c r="K449" s="15" t="s">
        <v>16</v>
      </c>
      <c r="L449" s="19"/>
      <c r="M449" s="19"/>
      <c r="N449" s="23"/>
    </row>
    <row r="450" spans="1:14" x14ac:dyDescent="0.35">
      <c r="A450" s="16">
        <v>79931510915</v>
      </c>
      <c r="B450" s="13" t="s">
        <v>39</v>
      </c>
      <c r="C450" s="12">
        <v>44207</v>
      </c>
      <c r="D450" s="8">
        <v>25.100999999999999</v>
      </c>
      <c r="E450" s="8">
        <v>79.673000000000002</v>
      </c>
      <c r="F450" s="13"/>
      <c r="G450" s="13" t="s">
        <v>38</v>
      </c>
      <c r="H450" s="13" t="s">
        <v>40</v>
      </c>
      <c r="I450" s="13" t="s">
        <v>41</v>
      </c>
      <c r="J450" s="17">
        <f t="shared" ref="J450:J513" si="7">D450*E450</f>
        <v>1999.871973</v>
      </c>
      <c r="K450" s="15" t="s">
        <v>16</v>
      </c>
      <c r="L450" s="13"/>
      <c r="M450" s="13"/>
      <c r="N450" s="14"/>
    </row>
    <row r="451" spans="1:14" x14ac:dyDescent="0.35">
      <c r="A451" s="16">
        <v>79933657726</v>
      </c>
      <c r="B451" s="13" t="s">
        <v>39</v>
      </c>
      <c r="C451" s="12">
        <v>44207</v>
      </c>
      <c r="D451" s="8">
        <v>31.376999999999999</v>
      </c>
      <c r="E451" s="8">
        <v>79.673000000000002</v>
      </c>
      <c r="F451" s="13"/>
      <c r="G451" s="13" t="s">
        <v>38</v>
      </c>
      <c r="H451" s="13" t="s">
        <v>47</v>
      </c>
      <c r="I451" s="13" t="s">
        <v>41</v>
      </c>
      <c r="J451" s="17">
        <f t="shared" si="7"/>
        <v>2499.8997209999998</v>
      </c>
      <c r="K451" s="15" t="s">
        <v>16</v>
      </c>
      <c r="L451" s="13"/>
      <c r="M451" s="13"/>
      <c r="N451" s="14"/>
    </row>
    <row r="452" spans="1:14" x14ac:dyDescent="0.35">
      <c r="A452" s="16" t="s">
        <v>11</v>
      </c>
      <c r="B452" s="13" t="s">
        <v>42</v>
      </c>
      <c r="C452" s="12">
        <v>44207</v>
      </c>
      <c r="D452" s="8">
        <v>36.540999999999997</v>
      </c>
      <c r="E452" s="8">
        <v>82.094899999999996</v>
      </c>
      <c r="F452" s="13"/>
      <c r="G452" s="13" t="s">
        <v>13</v>
      </c>
      <c r="H452" s="13" t="s">
        <v>40</v>
      </c>
      <c r="I452" s="13" t="s">
        <v>43</v>
      </c>
      <c r="J452" s="17">
        <f t="shared" si="7"/>
        <v>2999.8297408999997</v>
      </c>
      <c r="K452" s="15" t="s">
        <v>16</v>
      </c>
      <c r="L452" s="13"/>
      <c r="M452" s="13"/>
      <c r="N452" s="14"/>
    </row>
    <row r="453" spans="1:14" x14ac:dyDescent="0.35">
      <c r="A453" s="16" t="s">
        <v>20</v>
      </c>
      <c r="B453" s="13" t="s">
        <v>34</v>
      </c>
      <c r="C453" s="12">
        <v>44207</v>
      </c>
      <c r="D453" s="8">
        <v>7.9130000000000003</v>
      </c>
      <c r="E453" s="8">
        <v>126.3687</v>
      </c>
      <c r="F453" s="13"/>
      <c r="G453" s="13" t="s">
        <v>13</v>
      </c>
      <c r="H453" s="13" t="s">
        <v>35</v>
      </c>
      <c r="I453" s="13" t="s">
        <v>36</v>
      </c>
      <c r="J453" s="17">
        <f t="shared" si="7"/>
        <v>999.95552310000005</v>
      </c>
      <c r="K453" s="15" t="s">
        <v>16</v>
      </c>
      <c r="L453" s="13"/>
      <c r="M453" s="13"/>
      <c r="N453" s="14"/>
    </row>
    <row r="454" spans="1:14" x14ac:dyDescent="0.35">
      <c r="A454" s="16">
        <v>19915197402</v>
      </c>
      <c r="B454" s="13" t="s">
        <v>28</v>
      </c>
      <c r="C454" s="12">
        <v>44214</v>
      </c>
      <c r="D454" s="8">
        <v>112.47199999999999</v>
      </c>
      <c r="E454" s="8">
        <v>133.36000000000001</v>
      </c>
      <c r="F454" s="13"/>
      <c r="G454" s="13" t="s">
        <v>13</v>
      </c>
      <c r="H454" s="13" t="s">
        <v>29</v>
      </c>
      <c r="I454" s="13" t="s">
        <v>30</v>
      </c>
      <c r="J454" s="17">
        <f t="shared" si="7"/>
        <v>14999.265920000002</v>
      </c>
      <c r="K454" s="15" t="s">
        <v>16</v>
      </c>
      <c r="L454" s="13"/>
      <c r="M454" s="13"/>
      <c r="N454" s="14"/>
    </row>
    <row r="455" spans="1:14" x14ac:dyDescent="0.35">
      <c r="A455" s="16" t="s">
        <v>37</v>
      </c>
      <c r="B455" s="13" t="s">
        <v>25</v>
      </c>
      <c r="C455" s="12">
        <v>44214</v>
      </c>
      <c r="D455" s="8">
        <v>402.04199999999997</v>
      </c>
      <c r="E455" s="8">
        <v>37.307699999999997</v>
      </c>
      <c r="F455" s="13"/>
      <c r="G455" s="13" t="s">
        <v>38</v>
      </c>
      <c r="H455" s="13"/>
      <c r="I455" s="13" t="s">
        <v>26</v>
      </c>
      <c r="J455" s="17">
        <f t="shared" si="7"/>
        <v>14999.262323399998</v>
      </c>
      <c r="K455" s="15" t="s">
        <v>16</v>
      </c>
      <c r="L455" s="13"/>
      <c r="M455" s="13"/>
      <c r="N455" s="14"/>
    </row>
    <row r="456" spans="1:14" x14ac:dyDescent="0.35">
      <c r="A456" s="16" t="s">
        <v>20</v>
      </c>
      <c r="B456" s="13" t="s">
        <v>34</v>
      </c>
      <c r="C456" s="12">
        <v>44214</v>
      </c>
      <c r="D456" s="8">
        <v>8.0250000000000004</v>
      </c>
      <c r="E456" s="8">
        <v>124.5968</v>
      </c>
      <c r="F456" s="13"/>
      <c r="G456" s="13" t="s">
        <v>13</v>
      </c>
      <c r="H456" s="13" t="s">
        <v>35</v>
      </c>
      <c r="I456" s="13" t="s">
        <v>36</v>
      </c>
      <c r="J456" s="17">
        <f t="shared" si="7"/>
        <v>999.88932000000011</v>
      </c>
      <c r="K456" s="15" t="s">
        <v>16</v>
      </c>
      <c r="L456" s="13"/>
      <c r="M456" s="13"/>
      <c r="N456" s="14"/>
    </row>
    <row r="457" spans="1:14" x14ac:dyDescent="0.35">
      <c r="A457" s="16" t="s">
        <v>20</v>
      </c>
      <c r="B457" s="13" t="s">
        <v>21</v>
      </c>
      <c r="C457" s="12">
        <v>44214</v>
      </c>
      <c r="D457" s="8">
        <v>72.716999999999999</v>
      </c>
      <c r="E457" s="8">
        <v>41.253599999999999</v>
      </c>
      <c r="F457" s="13"/>
      <c r="G457" s="13" t="s">
        <v>13</v>
      </c>
      <c r="H457" s="13" t="s">
        <v>22</v>
      </c>
      <c r="I457" s="13" t="s">
        <v>23</v>
      </c>
      <c r="J457" s="17">
        <f t="shared" si="7"/>
        <v>2999.8380311999999</v>
      </c>
      <c r="K457" s="15" t="s">
        <v>16</v>
      </c>
      <c r="L457" s="13"/>
      <c r="M457" s="13"/>
      <c r="N457" s="14"/>
    </row>
    <row r="458" spans="1:14" x14ac:dyDescent="0.35">
      <c r="A458" s="16" t="s">
        <v>33</v>
      </c>
      <c r="B458" s="13" t="s">
        <v>25</v>
      </c>
      <c r="C458" s="12">
        <v>44214</v>
      </c>
      <c r="D458" s="8">
        <v>402.04199999999997</v>
      </c>
      <c r="E458" s="8">
        <v>37.307699999999997</v>
      </c>
      <c r="F458" s="13"/>
      <c r="G458" s="13" t="s">
        <v>31</v>
      </c>
      <c r="H458" s="13" t="s">
        <v>14</v>
      </c>
      <c r="I458" s="13" t="s">
        <v>26</v>
      </c>
      <c r="J458" s="17">
        <f t="shared" si="7"/>
        <v>14999.262323399998</v>
      </c>
      <c r="K458" s="15" t="s">
        <v>32</v>
      </c>
      <c r="L458" s="13"/>
      <c r="M458" s="13"/>
      <c r="N458" s="14"/>
    </row>
    <row r="459" spans="1:14" x14ac:dyDescent="0.35">
      <c r="A459" s="16">
        <v>79931510915</v>
      </c>
      <c r="B459" s="13" t="s">
        <v>39</v>
      </c>
      <c r="C459" s="12">
        <v>44218</v>
      </c>
      <c r="D459" s="8">
        <v>37.777000000000001</v>
      </c>
      <c r="E459" s="8">
        <v>79.409000000000006</v>
      </c>
      <c r="F459" s="13"/>
      <c r="G459" s="13" t="s">
        <v>38</v>
      </c>
      <c r="H459" s="13" t="s">
        <v>40</v>
      </c>
      <c r="I459" s="13" t="s">
        <v>41</v>
      </c>
      <c r="J459" s="17">
        <f t="shared" si="7"/>
        <v>2999.8337930000002</v>
      </c>
      <c r="K459" s="15" t="s">
        <v>16</v>
      </c>
      <c r="L459" s="13"/>
      <c r="M459" s="13"/>
      <c r="N459" s="14"/>
    </row>
    <row r="460" spans="1:14" x14ac:dyDescent="0.35">
      <c r="A460" s="16">
        <v>19915197402</v>
      </c>
      <c r="B460" s="13" t="s">
        <v>28</v>
      </c>
      <c r="C460" s="12">
        <v>44223</v>
      </c>
      <c r="D460" s="8">
        <v>76.14</v>
      </c>
      <c r="E460" s="8">
        <v>131.33000000000001</v>
      </c>
      <c r="F460" s="13"/>
      <c r="G460" s="13" t="s">
        <v>13</v>
      </c>
      <c r="H460" s="13" t="s">
        <v>29</v>
      </c>
      <c r="I460" s="13" t="s">
        <v>30</v>
      </c>
      <c r="J460" s="17">
        <f t="shared" si="7"/>
        <v>9999.4662000000008</v>
      </c>
      <c r="K460" s="15" t="s">
        <v>16</v>
      </c>
      <c r="L460" s="13"/>
      <c r="M460" s="13"/>
      <c r="N460" s="14"/>
    </row>
    <row r="461" spans="1:14" x14ac:dyDescent="0.35">
      <c r="A461" s="16" t="s">
        <v>20</v>
      </c>
      <c r="B461" s="13" t="s">
        <v>34</v>
      </c>
      <c r="C461" s="12">
        <v>44223</v>
      </c>
      <c r="D461" s="8">
        <v>8.218</v>
      </c>
      <c r="E461" s="8">
        <v>121.6795</v>
      </c>
      <c r="F461" s="13"/>
      <c r="G461" s="13" t="s">
        <v>13</v>
      </c>
      <c r="H461" s="13" t="s">
        <v>35</v>
      </c>
      <c r="I461" s="13" t="s">
        <v>36</v>
      </c>
      <c r="J461" s="17">
        <f t="shared" si="7"/>
        <v>999.962131</v>
      </c>
      <c r="K461" s="15" t="s">
        <v>16</v>
      </c>
      <c r="L461" s="13"/>
      <c r="M461" s="13"/>
      <c r="N461" s="14"/>
    </row>
    <row r="462" spans="1:14" x14ac:dyDescent="0.35">
      <c r="A462" s="16" t="s">
        <v>20</v>
      </c>
      <c r="B462" s="13" t="s">
        <v>21</v>
      </c>
      <c r="C462" s="12">
        <v>44223</v>
      </c>
      <c r="D462" s="8">
        <v>49.886000000000003</v>
      </c>
      <c r="E462" s="8">
        <v>40.089700000000001</v>
      </c>
      <c r="F462" s="13"/>
      <c r="G462" s="13" t="s">
        <v>13</v>
      </c>
      <c r="H462" s="13" t="s">
        <v>22</v>
      </c>
      <c r="I462" s="13" t="s">
        <v>23</v>
      </c>
      <c r="J462" s="17">
        <f t="shared" si="7"/>
        <v>1999.9147742000002</v>
      </c>
      <c r="K462" s="15" t="s">
        <v>16</v>
      </c>
      <c r="L462" s="13"/>
      <c r="M462" s="13"/>
      <c r="N462" s="14"/>
    </row>
    <row r="463" spans="1:14" x14ac:dyDescent="0.35">
      <c r="A463" s="16" t="s">
        <v>33</v>
      </c>
      <c r="B463" s="13" t="s">
        <v>25</v>
      </c>
      <c r="C463" s="12">
        <v>44223</v>
      </c>
      <c r="D463" s="8">
        <v>263.75799999999998</v>
      </c>
      <c r="E463" s="8">
        <v>37.911700000000003</v>
      </c>
      <c r="F463" s="13"/>
      <c r="G463" s="13" t="s">
        <v>31</v>
      </c>
      <c r="H463" s="13" t="s">
        <v>14</v>
      </c>
      <c r="I463" s="13" t="s">
        <v>26</v>
      </c>
      <c r="J463" s="17">
        <f t="shared" si="7"/>
        <v>9999.5141686000006</v>
      </c>
      <c r="K463" s="15" t="s">
        <v>32</v>
      </c>
      <c r="L463" s="13"/>
      <c r="M463" s="13"/>
      <c r="N463" s="14"/>
    </row>
    <row r="464" spans="1:14" x14ac:dyDescent="0.35">
      <c r="A464" s="16">
        <v>19915197402</v>
      </c>
      <c r="B464" s="13" t="s">
        <v>28</v>
      </c>
      <c r="C464" s="12">
        <v>44224</v>
      </c>
      <c r="D464" s="8">
        <v>153.09700000000001</v>
      </c>
      <c r="E464" s="8">
        <v>130.63</v>
      </c>
      <c r="F464" s="13"/>
      <c r="G464" s="13" t="s">
        <v>13</v>
      </c>
      <c r="H464" s="13" t="s">
        <v>29</v>
      </c>
      <c r="I464" s="13" t="s">
        <v>30</v>
      </c>
      <c r="J464" s="17">
        <f t="shared" si="7"/>
        <v>19999.061109999999</v>
      </c>
      <c r="K464" s="15" t="s">
        <v>16</v>
      </c>
      <c r="L464" s="13"/>
      <c r="M464" s="13"/>
      <c r="N464" s="14"/>
    </row>
    <row r="465" spans="1:14" x14ac:dyDescent="0.35">
      <c r="A465" s="16" t="s">
        <v>37</v>
      </c>
      <c r="B465" s="13" t="s">
        <v>25</v>
      </c>
      <c r="C465" s="12">
        <v>44224</v>
      </c>
      <c r="D465" s="8">
        <v>531.76400000000001</v>
      </c>
      <c r="E465" s="8">
        <v>37.608800000000002</v>
      </c>
      <c r="F465" s="13"/>
      <c r="G465" s="13" t="s">
        <v>38</v>
      </c>
      <c r="H465" s="13"/>
      <c r="I465" s="13" t="s">
        <v>26</v>
      </c>
      <c r="J465" s="17">
        <f t="shared" si="7"/>
        <v>19999.005923200002</v>
      </c>
      <c r="K465" s="15" t="s">
        <v>16</v>
      </c>
      <c r="L465" s="13"/>
      <c r="M465" s="13"/>
      <c r="N465" s="14"/>
    </row>
    <row r="466" spans="1:14" x14ac:dyDescent="0.35">
      <c r="A466" s="16" t="s">
        <v>20</v>
      </c>
      <c r="B466" s="13" t="s">
        <v>21</v>
      </c>
      <c r="C466" s="12">
        <v>44224</v>
      </c>
      <c r="D466" s="8">
        <v>62.789000000000001</v>
      </c>
      <c r="E466" s="8">
        <v>39.813699999999997</v>
      </c>
      <c r="F466" s="13"/>
      <c r="G466" s="13" t="s">
        <v>13</v>
      </c>
      <c r="H466" s="13" t="s">
        <v>22</v>
      </c>
      <c r="I466" s="13" t="s">
        <v>23</v>
      </c>
      <c r="J466" s="17">
        <f t="shared" si="7"/>
        <v>2499.8624092999999</v>
      </c>
      <c r="K466" s="15" t="s">
        <v>16</v>
      </c>
      <c r="L466" s="13"/>
      <c r="M466" s="13"/>
      <c r="N466" s="14"/>
    </row>
    <row r="467" spans="1:14" x14ac:dyDescent="0.35">
      <c r="A467" s="16" t="s">
        <v>33</v>
      </c>
      <c r="B467" s="13" t="s">
        <v>25</v>
      </c>
      <c r="C467" s="12">
        <v>44224</v>
      </c>
      <c r="D467" s="8">
        <v>265.88200000000001</v>
      </c>
      <c r="E467" s="8">
        <v>37.608800000000002</v>
      </c>
      <c r="F467" s="13"/>
      <c r="G467" s="13" t="s">
        <v>31</v>
      </c>
      <c r="H467" s="13" t="s">
        <v>14</v>
      </c>
      <c r="I467" s="13" t="s">
        <v>26</v>
      </c>
      <c r="J467" s="17">
        <f t="shared" si="7"/>
        <v>9999.5029616000011</v>
      </c>
      <c r="K467" s="15" t="s">
        <v>32</v>
      </c>
      <c r="L467" s="13"/>
      <c r="M467" s="13"/>
      <c r="N467" s="14"/>
    </row>
    <row r="468" spans="1:14" x14ac:dyDescent="0.35">
      <c r="A468" s="16">
        <v>18917658</v>
      </c>
      <c r="B468" s="13" t="s">
        <v>12</v>
      </c>
      <c r="C468" s="12">
        <v>44224</v>
      </c>
      <c r="D468" s="8">
        <v>38.921999999999997</v>
      </c>
      <c r="E468" s="8">
        <v>51.382800000000003</v>
      </c>
      <c r="F468" s="13"/>
      <c r="G468" s="13" t="s">
        <v>31</v>
      </c>
      <c r="H468" s="13" t="s">
        <v>14</v>
      </c>
      <c r="I468" s="13" t="s">
        <v>15</v>
      </c>
      <c r="J468" s="17">
        <f t="shared" si="7"/>
        <v>1999.9213416</v>
      </c>
      <c r="K468" s="15" t="s">
        <v>32</v>
      </c>
      <c r="L468" s="13"/>
      <c r="M468" s="13"/>
      <c r="N468" s="14"/>
    </row>
    <row r="469" spans="1:14" x14ac:dyDescent="0.35">
      <c r="A469" s="16">
        <v>79931510915</v>
      </c>
      <c r="B469" s="13" t="s">
        <v>39</v>
      </c>
      <c r="C469" s="12">
        <v>44238</v>
      </c>
      <c r="D469" s="8">
        <v>23.404</v>
      </c>
      <c r="E469" s="8">
        <v>85.451999999999998</v>
      </c>
      <c r="F469" s="13"/>
      <c r="G469" s="13" t="s">
        <v>38</v>
      </c>
      <c r="H469" s="13" t="s">
        <v>40</v>
      </c>
      <c r="I469" s="13" t="s">
        <v>41</v>
      </c>
      <c r="J469" s="17">
        <f t="shared" si="7"/>
        <v>1999.9186079999999</v>
      </c>
      <c r="K469" s="15" t="s">
        <v>16</v>
      </c>
      <c r="L469" s="13"/>
      <c r="M469" s="13"/>
      <c r="N469" s="14"/>
    </row>
    <row r="470" spans="1:14" x14ac:dyDescent="0.35">
      <c r="A470" s="16">
        <v>79933657726</v>
      </c>
      <c r="B470" s="13" t="s">
        <v>39</v>
      </c>
      <c r="C470" s="12">
        <v>44238</v>
      </c>
      <c r="D470" s="8">
        <v>29.254999999999999</v>
      </c>
      <c r="E470" s="8">
        <v>85.451999999999998</v>
      </c>
      <c r="F470" s="13"/>
      <c r="G470" s="13" t="s">
        <v>38</v>
      </c>
      <c r="H470" s="13" t="s">
        <v>47</v>
      </c>
      <c r="I470" s="13" t="s">
        <v>41</v>
      </c>
      <c r="J470" s="17">
        <f t="shared" si="7"/>
        <v>2499.8982599999999</v>
      </c>
      <c r="K470" s="15" t="s">
        <v>16</v>
      </c>
      <c r="L470" s="13"/>
      <c r="M470" s="13"/>
      <c r="N470" s="14"/>
    </row>
    <row r="471" spans="1:14" x14ac:dyDescent="0.35">
      <c r="A471" s="16" t="s">
        <v>11</v>
      </c>
      <c r="B471" s="13" t="s">
        <v>42</v>
      </c>
      <c r="C471" s="12">
        <v>44239</v>
      </c>
      <c r="D471" s="8">
        <v>35.465000000000003</v>
      </c>
      <c r="E471" s="8">
        <v>84.586399999999998</v>
      </c>
      <c r="F471" s="13"/>
      <c r="G471" s="13" t="s">
        <v>13</v>
      </c>
      <c r="H471" s="13" t="s">
        <v>40</v>
      </c>
      <c r="I471" s="13" t="s">
        <v>43</v>
      </c>
      <c r="J471" s="17">
        <f t="shared" si="7"/>
        <v>2999.8566760000003</v>
      </c>
      <c r="K471" s="15" t="s">
        <v>16</v>
      </c>
      <c r="L471" s="13"/>
      <c r="M471" s="13"/>
      <c r="N471" s="14"/>
    </row>
    <row r="472" spans="1:14" x14ac:dyDescent="0.35">
      <c r="A472" s="16" t="s">
        <v>20</v>
      </c>
      <c r="B472" s="13" t="s">
        <v>34</v>
      </c>
      <c r="C472" s="12">
        <v>44239</v>
      </c>
      <c r="D472" s="8">
        <v>7.5679999999999996</v>
      </c>
      <c r="E472" s="8">
        <v>132.1275</v>
      </c>
      <c r="F472" s="13"/>
      <c r="G472" s="13" t="s">
        <v>13</v>
      </c>
      <c r="H472" s="13" t="s">
        <v>35</v>
      </c>
      <c r="I472" s="13" t="s">
        <v>36</v>
      </c>
      <c r="J472" s="17">
        <f t="shared" si="7"/>
        <v>999.94091999999989</v>
      </c>
      <c r="K472" s="15" t="s">
        <v>16</v>
      </c>
      <c r="L472" s="13"/>
      <c r="M472" s="13"/>
      <c r="N472" s="14"/>
    </row>
    <row r="473" spans="1:14" x14ac:dyDescent="0.35">
      <c r="A473" s="16">
        <v>19915197402</v>
      </c>
      <c r="B473" s="13" t="s">
        <v>28</v>
      </c>
      <c r="C473" s="12">
        <v>44245</v>
      </c>
      <c r="D473" s="8">
        <v>69.364000000000004</v>
      </c>
      <c r="E473" s="8">
        <v>144.16</v>
      </c>
      <c r="F473" s="13"/>
      <c r="G473" s="13" t="s">
        <v>13</v>
      </c>
      <c r="H473" s="13" t="s">
        <v>29</v>
      </c>
      <c r="I473" s="13" t="s">
        <v>30</v>
      </c>
      <c r="J473" s="17">
        <f t="shared" si="7"/>
        <v>9999.5142400000004</v>
      </c>
      <c r="K473" s="15" t="s">
        <v>16</v>
      </c>
      <c r="L473" s="13"/>
      <c r="M473" s="13"/>
      <c r="N473" s="14"/>
    </row>
    <row r="474" spans="1:14" x14ac:dyDescent="0.35">
      <c r="A474" s="16" t="s">
        <v>20</v>
      </c>
      <c r="B474" s="13" t="s">
        <v>21</v>
      </c>
      <c r="C474" s="12">
        <v>44245</v>
      </c>
      <c r="D474" s="8">
        <v>58.454999999999998</v>
      </c>
      <c r="E474" s="8">
        <v>42.766199999999998</v>
      </c>
      <c r="F474" s="13"/>
      <c r="G474" s="13" t="s">
        <v>13</v>
      </c>
      <c r="H474" s="13" t="s">
        <v>22</v>
      </c>
      <c r="I474" s="13" t="s">
        <v>23</v>
      </c>
      <c r="J474" s="17">
        <f t="shared" si="7"/>
        <v>2499.8982209999999</v>
      </c>
      <c r="K474" s="15" t="s">
        <v>16</v>
      </c>
      <c r="L474" s="13"/>
      <c r="M474" s="13"/>
      <c r="N474" s="14"/>
    </row>
    <row r="475" spans="1:14" x14ac:dyDescent="0.35">
      <c r="A475" s="16" t="s">
        <v>33</v>
      </c>
      <c r="B475" s="13" t="s">
        <v>25</v>
      </c>
      <c r="C475" s="12">
        <v>44245</v>
      </c>
      <c r="D475" s="8">
        <v>249.041</v>
      </c>
      <c r="E475" s="8">
        <v>40.152099999999997</v>
      </c>
      <c r="F475" s="13"/>
      <c r="G475" s="13" t="s">
        <v>31</v>
      </c>
      <c r="H475" s="13" t="s">
        <v>14</v>
      </c>
      <c r="I475" s="13" t="s">
        <v>26</v>
      </c>
      <c r="J475" s="17">
        <f t="shared" si="7"/>
        <v>9999.5191360999997</v>
      </c>
      <c r="K475" s="15" t="s">
        <v>32</v>
      </c>
      <c r="L475" s="13"/>
      <c r="M475" s="13"/>
      <c r="N475" s="14"/>
    </row>
    <row r="476" spans="1:14" x14ac:dyDescent="0.35">
      <c r="A476" s="16">
        <v>18917658</v>
      </c>
      <c r="B476" s="13" t="s">
        <v>12</v>
      </c>
      <c r="C476" s="12">
        <v>44245</v>
      </c>
      <c r="D476" s="8">
        <v>69.350999999999999</v>
      </c>
      <c r="E476" s="8">
        <v>57.674799999999998</v>
      </c>
      <c r="F476" s="13"/>
      <c r="G476" s="13" t="s">
        <v>31</v>
      </c>
      <c r="H476" s="13" t="s">
        <v>14</v>
      </c>
      <c r="I476" s="13" t="s">
        <v>15</v>
      </c>
      <c r="J476" s="17">
        <f t="shared" si="7"/>
        <v>3999.8050547999997</v>
      </c>
      <c r="K476" s="15" t="s">
        <v>32</v>
      </c>
      <c r="L476" s="13"/>
      <c r="M476" s="13"/>
      <c r="N476" s="14"/>
    </row>
    <row r="477" spans="1:14" x14ac:dyDescent="0.35">
      <c r="A477" s="16" t="s">
        <v>37</v>
      </c>
      <c r="B477" s="13" t="s">
        <v>25</v>
      </c>
      <c r="C477" s="12">
        <v>44246</v>
      </c>
      <c r="D477" s="8">
        <v>753.62300000000005</v>
      </c>
      <c r="E477" s="8">
        <v>39.805700000000002</v>
      </c>
      <c r="F477" s="13"/>
      <c r="G477" s="13" t="s">
        <v>38</v>
      </c>
      <c r="H477" s="13"/>
      <c r="I477" s="13" t="s">
        <v>26</v>
      </c>
      <c r="J477" s="17">
        <f t="shared" si="7"/>
        <v>29998.491051100002</v>
      </c>
      <c r="K477" s="15" t="s">
        <v>16</v>
      </c>
      <c r="L477" s="13"/>
      <c r="M477" s="13"/>
      <c r="N477" s="14"/>
    </row>
    <row r="478" spans="1:14" x14ac:dyDescent="0.35">
      <c r="A478" s="16">
        <v>19915197402</v>
      </c>
      <c r="B478" s="13" t="s">
        <v>28</v>
      </c>
      <c r="C478" s="12">
        <v>44249</v>
      </c>
      <c r="D478" s="8">
        <v>71.491</v>
      </c>
      <c r="E478" s="8">
        <v>139.87</v>
      </c>
      <c r="F478" s="13"/>
      <c r="G478" s="13" t="s">
        <v>13</v>
      </c>
      <c r="H478" s="13" t="s">
        <v>29</v>
      </c>
      <c r="I478" s="13" t="s">
        <v>30</v>
      </c>
      <c r="J478" s="17">
        <f t="shared" si="7"/>
        <v>9999.4461700000011</v>
      </c>
      <c r="K478" s="15" t="s">
        <v>16</v>
      </c>
      <c r="L478" s="13"/>
      <c r="M478" s="13"/>
      <c r="N478" s="14"/>
    </row>
    <row r="479" spans="1:14" x14ac:dyDescent="0.35">
      <c r="A479" s="16">
        <v>79931510915</v>
      </c>
      <c r="B479" s="13" t="s">
        <v>39</v>
      </c>
      <c r="C479" s="12">
        <v>44249</v>
      </c>
      <c r="D479" s="8">
        <v>35.326999999999998</v>
      </c>
      <c r="E479" s="8">
        <v>84.917000000000002</v>
      </c>
      <c r="F479" s="13"/>
      <c r="G479" s="13" t="s">
        <v>38</v>
      </c>
      <c r="H479" s="13" t="s">
        <v>40</v>
      </c>
      <c r="I479" s="13" t="s">
        <v>41</v>
      </c>
      <c r="J479" s="17">
        <f t="shared" si="7"/>
        <v>2999.8628589999998</v>
      </c>
      <c r="K479" s="15" t="s">
        <v>16</v>
      </c>
      <c r="L479" s="13"/>
      <c r="M479" s="13"/>
      <c r="N479" s="14"/>
    </row>
    <row r="480" spans="1:14" x14ac:dyDescent="0.35">
      <c r="A480" s="16" t="s">
        <v>20</v>
      </c>
      <c r="B480" s="13" t="s">
        <v>34</v>
      </c>
      <c r="C480" s="12">
        <v>44249</v>
      </c>
      <c r="D480" s="8">
        <v>7.8319999999999999</v>
      </c>
      <c r="E480" s="8">
        <v>127.67659999999999</v>
      </c>
      <c r="F480" s="13"/>
      <c r="G480" s="13" t="s">
        <v>13</v>
      </c>
      <c r="H480" s="13" t="s">
        <v>35</v>
      </c>
      <c r="I480" s="13" t="s">
        <v>36</v>
      </c>
      <c r="J480" s="17">
        <f t="shared" si="7"/>
        <v>999.96313119999991</v>
      </c>
      <c r="K480" s="15" t="s">
        <v>16</v>
      </c>
      <c r="L480" s="13"/>
      <c r="M480" s="13"/>
      <c r="N480" s="14"/>
    </row>
    <row r="481" spans="1:14" x14ac:dyDescent="0.35">
      <c r="A481" s="16" t="s">
        <v>20</v>
      </c>
      <c r="B481" s="13" t="s">
        <v>21</v>
      </c>
      <c r="C481" s="12">
        <v>44249</v>
      </c>
      <c r="D481" s="8">
        <v>48.146999999999998</v>
      </c>
      <c r="E481" s="8">
        <v>41.537700000000001</v>
      </c>
      <c r="F481" s="13"/>
      <c r="G481" s="13" t="s">
        <v>13</v>
      </c>
      <c r="H481" s="13" t="s">
        <v>22</v>
      </c>
      <c r="I481" s="13" t="s">
        <v>23</v>
      </c>
      <c r="J481" s="17">
        <f t="shared" si="7"/>
        <v>1999.9156419000001</v>
      </c>
      <c r="K481" s="15" t="s">
        <v>16</v>
      </c>
      <c r="L481" s="13"/>
      <c r="M481" s="13"/>
      <c r="N481" s="14"/>
    </row>
    <row r="482" spans="1:14" x14ac:dyDescent="0.35">
      <c r="A482" s="16" t="s">
        <v>33</v>
      </c>
      <c r="B482" s="13" t="s">
        <v>25</v>
      </c>
      <c r="C482" s="12">
        <v>44249</v>
      </c>
      <c r="D482" s="8">
        <v>634.51700000000005</v>
      </c>
      <c r="E482" s="8">
        <v>39.398099999999999</v>
      </c>
      <c r="F482" s="13"/>
      <c r="G482" s="13" t="s">
        <v>31</v>
      </c>
      <c r="H482" s="13" t="s">
        <v>14</v>
      </c>
      <c r="I482" s="13" t="s">
        <v>26</v>
      </c>
      <c r="J482" s="17">
        <f t="shared" si="7"/>
        <v>24998.764217700002</v>
      </c>
      <c r="K482" s="15" t="s">
        <v>32</v>
      </c>
      <c r="L482" s="13"/>
      <c r="M482" s="13"/>
      <c r="N482" s="14"/>
    </row>
    <row r="483" spans="1:14" x14ac:dyDescent="0.35">
      <c r="A483" s="16">
        <v>18917658</v>
      </c>
      <c r="B483" s="13" t="s">
        <v>12</v>
      </c>
      <c r="C483" s="12">
        <v>44249</v>
      </c>
      <c r="D483" s="8">
        <v>35.798999999999999</v>
      </c>
      <c r="E483" s="8">
        <v>55.864199999999997</v>
      </c>
      <c r="F483" s="13"/>
      <c r="G483" s="13" t="s">
        <v>31</v>
      </c>
      <c r="H483" s="13" t="s">
        <v>14</v>
      </c>
      <c r="I483" s="13" t="s">
        <v>15</v>
      </c>
      <c r="J483" s="17">
        <f t="shared" si="7"/>
        <v>1999.8824957999998</v>
      </c>
      <c r="K483" s="15" t="s">
        <v>32</v>
      </c>
      <c r="L483" s="13"/>
      <c r="M483" s="13"/>
      <c r="N483" s="14"/>
    </row>
    <row r="484" spans="1:14" x14ac:dyDescent="0.35">
      <c r="A484" s="16" t="s">
        <v>37</v>
      </c>
      <c r="B484" s="13" t="s">
        <v>25</v>
      </c>
      <c r="C484" s="12">
        <v>44251</v>
      </c>
      <c r="D484" s="8">
        <v>630.04999999999995</v>
      </c>
      <c r="E484" s="8">
        <v>39.677399999999999</v>
      </c>
      <c r="F484" s="13"/>
      <c r="G484" s="13" t="s">
        <v>38</v>
      </c>
      <c r="H484" s="13"/>
      <c r="I484" s="13" t="s">
        <v>26</v>
      </c>
      <c r="J484" s="17">
        <f t="shared" si="7"/>
        <v>24998.745869999999</v>
      </c>
      <c r="K484" s="15" t="s">
        <v>16</v>
      </c>
      <c r="L484" s="13"/>
      <c r="M484" s="13"/>
      <c r="N484" s="14"/>
    </row>
    <row r="485" spans="1:14" x14ac:dyDescent="0.35">
      <c r="A485" s="16" t="s">
        <v>48</v>
      </c>
      <c r="B485" s="13" t="s">
        <v>39</v>
      </c>
      <c r="C485" s="12">
        <v>44252</v>
      </c>
      <c r="D485" s="8">
        <v>29.933</v>
      </c>
      <c r="E485" s="8">
        <v>83.516999999999996</v>
      </c>
      <c r="F485" s="13"/>
      <c r="G485" s="13" t="s">
        <v>38</v>
      </c>
      <c r="H485" s="13" t="s">
        <v>40</v>
      </c>
      <c r="I485" s="13" t="s">
        <v>41</v>
      </c>
      <c r="J485" s="17">
        <f t="shared" si="7"/>
        <v>2499.9143609999996</v>
      </c>
      <c r="K485" s="15" t="s">
        <v>16</v>
      </c>
      <c r="L485" s="13"/>
      <c r="M485" s="13"/>
      <c r="N485" s="14"/>
    </row>
    <row r="486" spans="1:14" x14ac:dyDescent="0.35">
      <c r="A486" s="16">
        <v>19915197402</v>
      </c>
      <c r="B486" s="13" t="s">
        <v>28</v>
      </c>
      <c r="C486" s="12">
        <v>44253</v>
      </c>
      <c r="D486" s="8">
        <v>357.09899999999999</v>
      </c>
      <c r="E486" s="8">
        <v>140.01</v>
      </c>
      <c r="F486" s="13"/>
      <c r="G486" s="13" t="s">
        <v>13</v>
      </c>
      <c r="H486" s="13" t="s">
        <v>29</v>
      </c>
      <c r="I486" s="13" t="s">
        <v>30</v>
      </c>
      <c r="J486" s="17">
        <f t="shared" si="7"/>
        <v>49997.430989999993</v>
      </c>
      <c r="K486" s="15" t="s">
        <v>16</v>
      </c>
      <c r="L486" s="13"/>
      <c r="M486" s="13"/>
      <c r="N486" s="14"/>
    </row>
    <row r="487" spans="1:14" x14ac:dyDescent="0.35">
      <c r="A487" s="16" t="s">
        <v>20</v>
      </c>
      <c r="B487" s="13" t="s">
        <v>34</v>
      </c>
      <c r="C487" s="12">
        <v>44253</v>
      </c>
      <c r="D487" s="8">
        <v>7.9329999999999998</v>
      </c>
      <c r="E487" s="8">
        <v>126.0444</v>
      </c>
      <c r="F487" s="13"/>
      <c r="G487" s="13" t="s">
        <v>13</v>
      </c>
      <c r="H487" s="13" t="s">
        <v>35</v>
      </c>
      <c r="I487" s="13" t="s">
        <v>36</v>
      </c>
      <c r="J487" s="17">
        <f t="shared" si="7"/>
        <v>999.9102251999999</v>
      </c>
      <c r="K487" s="15" t="s">
        <v>16</v>
      </c>
      <c r="L487" s="13"/>
      <c r="M487" s="13"/>
      <c r="N487" s="14"/>
    </row>
    <row r="488" spans="1:14" x14ac:dyDescent="0.35">
      <c r="A488" s="16" t="s">
        <v>20</v>
      </c>
      <c r="B488" s="13" t="s">
        <v>21</v>
      </c>
      <c r="C488" s="12">
        <v>44253</v>
      </c>
      <c r="D488" s="8">
        <v>48.113999999999997</v>
      </c>
      <c r="E488" s="8">
        <v>41.5655</v>
      </c>
      <c r="F488" s="13"/>
      <c r="G488" s="13" t="s">
        <v>13</v>
      </c>
      <c r="H488" s="13" t="s">
        <v>22</v>
      </c>
      <c r="I488" s="13" t="s">
        <v>23</v>
      </c>
      <c r="J488" s="17">
        <f t="shared" si="7"/>
        <v>1999.8824669999999</v>
      </c>
      <c r="K488" s="15" t="s">
        <v>16</v>
      </c>
      <c r="L488" s="13"/>
      <c r="M488" s="13"/>
      <c r="N488" s="14"/>
    </row>
    <row r="489" spans="1:14" x14ac:dyDescent="0.35">
      <c r="A489" s="16" t="s">
        <v>33</v>
      </c>
      <c r="B489" s="13" t="s">
        <v>25</v>
      </c>
      <c r="C489" s="12">
        <v>44253</v>
      </c>
      <c r="D489" s="8">
        <v>386.976</v>
      </c>
      <c r="E489" s="8">
        <v>38.760199999999998</v>
      </c>
      <c r="F489" s="13"/>
      <c r="G489" s="13" t="s">
        <v>31</v>
      </c>
      <c r="H489" s="13" t="s">
        <v>14</v>
      </c>
      <c r="I489" s="13" t="s">
        <v>26</v>
      </c>
      <c r="J489" s="17">
        <f t="shared" si="7"/>
        <v>14999.267155199999</v>
      </c>
      <c r="K489" s="15" t="s">
        <v>32</v>
      </c>
      <c r="L489" s="13"/>
      <c r="M489" s="13"/>
      <c r="N489" s="14"/>
    </row>
    <row r="490" spans="1:14" x14ac:dyDescent="0.35">
      <c r="A490" s="16" t="s">
        <v>24</v>
      </c>
      <c r="B490" s="13" t="s">
        <v>25</v>
      </c>
      <c r="C490" s="12">
        <v>44256</v>
      </c>
      <c r="D490" s="8">
        <v>637.56899999999996</v>
      </c>
      <c r="E490" s="8">
        <v>39.209499999999998</v>
      </c>
      <c r="F490" s="13"/>
      <c r="G490" s="13" t="s">
        <v>13</v>
      </c>
      <c r="H490" s="13" t="s">
        <v>14</v>
      </c>
      <c r="I490" s="13" t="s">
        <v>26</v>
      </c>
      <c r="J490" s="17">
        <f t="shared" si="7"/>
        <v>24998.761705499997</v>
      </c>
      <c r="K490" s="15" t="s">
        <v>16</v>
      </c>
      <c r="L490" s="13"/>
      <c r="M490" s="13"/>
      <c r="N490" s="14"/>
    </row>
    <row r="491" spans="1:14" x14ac:dyDescent="0.35">
      <c r="A491" s="16">
        <v>79931510915</v>
      </c>
      <c r="B491" s="13" t="s">
        <v>39</v>
      </c>
      <c r="C491" s="12">
        <v>44266</v>
      </c>
      <c r="D491" s="8">
        <v>23.198</v>
      </c>
      <c r="E491" s="8">
        <v>86.209000000000003</v>
      </c>
      <c r="F491" s="13"/>
      <c r="G491" s="13" t="s">
        <v>38</v>
      </c>
      <c r="H491" s="13" t="s">
        <v>40</v>
      </c>
      <c r="I491" s="13" t="s">
        <v>41</v>
      </c>
      <c r="J491" s="17">
        <f t="shared" si="7"/>
        <v>1999.8763820000001</v>
      </c>
      <c r="K491" s="15" t="s">
        <v>16</v>
      </c>
      <c r="L491" s="13"/>
      <c r="M491" s="13"/>
      <c r="N491" s="14"/>
    </row>
    <row r="492" spans="1:14" x14ac:dyDescent="0.35">
      <c r="A492" s="16">
        <v>79933657726</v>
      </c>
      <c r="B492" s="13" t="s">
        <v>39</v>
      </c>
      <c r="C492" s="12">
        <v>44266</v>
      </c>
      <c r="D492" s="8">
        <v>28.998000000000001</v>
      </c>
      <c r="E492" s="8">
        <v>86.209000000000003</v>
      </c>
      <c r="F492" s="13"/>
      <c r="G492" s="13" t="s">
        <v>38</v>
      </c>
      <c r="H492" s="13" t="s">
        <v>47</v>
      </c>
      <c r="I492" s="13" t="s">
        <v>41</v>
      </c>
      <c r="J492" s="17">
        <f t="shared" si="7"/>
        <v>2499.888582</v>
      </c>
      <c r="K492" s="15" t="s">
        <v>16</v>
      </c>
      <c r="L492" s="13"/>
      <c r="M492" s="13"/>
      <c r="N492" s="14"/>
    </row>
    <row r="493" spans="1:14" x14ac:dyDescent="0.35">
      <c r="A493" s="16" t="s">
        <v>11</v>
      </c>
      <c r="B493" s="13" t="s">
        <v>42</v>
      </c>
      <c r="C493" s="12">
        <v>44270</v>
      </c>
      <c r="D493" s="8">
        <v>33.86</v>
      </c>
      <c r="E493" s="8">
        <v>88.596299999999999</v>
      </c>
      <c r="F493" s="13"/>
      <c r="G493" s="13" t="s">
        <v>13</v>
      </c>
      <c r="H493" s="13" t="s">
        <v>40</v>
      </c>
      <c r="I493" s="13" t="s">
        <v>43</v>
      </c>
      <c r="J493" s="17">
        <f t="shared" si="7"/>
        <v>2999.8707180000001</v>
      </c>
      <c r="K493" s="15" t="s">
        <v>16</v>
      </c>
      <c r="L493" s="13"/>
      <c r="M493" s="13"/>
      <c r="N493" s="14"/>
    </row>
    <row r="494" spans="1:14" x14ac:dyDescent="0.35">
      <c r="A494" s="16" t="s">
        <v>20</v>
      </c>
      <c r="B494" s="13" t="s">
        <v>34</v>
      </c>
      <c r="C494" s="12">
        <v>44270</v>
      </c>
      <c r="D494" s="8">
        <v>7.734</v>
      </c>
      <c r="E494" s="8">
        <v>129.29259999999999</v>
      </c>
      <c r="F494" s="13"/>
      <c r="G494" s="13" t="s">
        <v>13</v>
      </c>
      <c r="H494" s="13" t="s">
        <v>35</v>
      </c>
      <c r="I494" s="13" t="s">
        <v>36</v>
      </c>
      <c r="J494" s="17">
        <f t="shared" si="7"/>
        <v>999.9489683999999</v>
      </c>
      <c r="K494" s="15" t="s">
        <v>16</v>
      </c>
      <c r="L494" s="13"/>
      <c r="M494" s="13"/>
      <c r="N494" s="14"/>
    </row>
    <row r="495" spans="1:14" x14ac:dyDescent="0.35">
      <c r="A495" s="16">
        <v>19915197402</v>
      </c>
      <c r="B495" s="13" t="s">
        <v>28</v>
      </c>
      <c r="C495" s="12">
        <v>44271</v>
      </c>
      <c r="D495" s="8">
        <v>104.21899999999999</v>
      </c>
      <c r="E495" s="8">
        <v>143.91999999999999</v>
      </c>
      <c r="F495" s="13"/>
      <c r="G495" s="13" t="s">
        <v>13</v>
      </c>
      <c r="H495" s="13" t="s">
        <v>29</v>
      </c>
      <c r="I495" s="13" t="s">
        <v>30</v>
      </c>
      <c r="J495" s="17">
        <f t="shared" si="7"/>
        <v>14999.198479999997</v>
      </c>
      <c r="K495" s="15" t="s">
        <v>16</v>
      </c>
      <c r="L495" s="13"/>
      <c r="M495" s="13"/>
      <c r="N495" s="14"/>
    </row>
    <row r="496" spans="1:14" x14ac:dyDescent="0.35">
      <c r="A496" s="16" t="s">
        <v>20</v>
      </c>
      <c r="B496" s="13" t="s">
        <v>34</v>
      </c>
      <c r="C496" s="12">
        <v>44271</v>
      </c>
      <c r="D496" s="8">
        <v>7.7389999999999999</v>
      </c>
      <c r="E496" s="8">
        <v>129.20330000000001</v>
      </c>
      <c r="F496" s="13"/>
      <c r="G496" s="13" t="s">
        <v>13</v>
      </c>
      <c r="H496" s="13" t="s">
        <v>35</v>
      </c>
      <c r="I496" s="13" t="s">
        <v>36</v>
      </c>
      <c r="J496" s="17">
        <f t="shared" si="7"/>
        <v>999.90433870000004</v>
      </c>
      <c r="K496" s="15" t="s">
        <v>16</v>
      </c>
      <c r="L496" s="13"/>
      <c r="M496" s="13"/>
      <c r="N496" s="14"/>
    </row>
    <row r="497" spans="1:14" x14ac:dyDescent="0.35">
      <c r="A497" s="16" t="s">
        <v>20</v>
      </c>
      <c r="B497" s="13" t="s">
        <v>21</v>
      </c>
      <c r="C497" s="12">
        <v>44271</v>
      </c>
      <c r="D497" s="8">
        <v>47.094999999999999</v>
      </c>
      <c r="E497" s="8">
        <v>42.465400000000002</v>
      </c>
      <c r="F497" s="13"/>
      <c r="G497" s="13" t="s">
        <v>13</v>
      </c>
      <c r="H497" s="13" t="s">
        <v>22</v>
      </c>
      <c r="I497" s="13" t="s">
        <v>23</v>
      </c>
      <c r="J497" s="17">
        <f t="shared" si="7"/>
        <v>1999.908013</v>
      </c>
      <c r="K497" s="15" t="s">
        <v>16</v>
      </c>
      <c r="L497" s="13"/>
      <c r="M497" s="13"/>
      <c r="N497" s="14"/>
    </row>
    <row r="498" spans="1:14" x14ac:dyDescent="0.35">
      <c r="A498" s="16" t="s">
        <v>33</v>
      </c>
      <c r="B498" s="13" t="s">
        <v>25</v>
      </c>
      <c r="C498" s="12">
        <v>44271</v>
      </c>
      <c r="D498" s="8">
        <v>124.611</v>
      </c>
      <c r="E498" s="8">
        <v>40.122799999999998</v>
      </c>
      <c r="F498" s="13"/>
      <c r="G498" s="13" t="s">
        <v>31</v>
      </c>
      <c r="H498" s="13" t="s">
        <v>14</v>
      </c>
      <c r="I498" s="13" t="s">
        <v>26</v>
      </c>
      <c r="J498" s="17">
        <f t="shared" si="7"/>
        <v>4999.7422307999996</v>
      </c>
      <c r="K498" s="15" t="s">
        <v>32</v>
      </c>
      <c r="L498" s="13"/>
      <c r="M498" s="13"/>
      <c r="N498" s="14"/>
    </row>
    <row r="499" spans="1:14" x14ac:dyDescent="0.35">
      <c r="A499" s="16">
        <v>19915197402</v>
      </c>
      <c r="B499" s="13" t="s">
        <v>28</v>
      </c>
      <c r="C499" s="12">
        <v>44272</v>
      </c>
      <c r="D499" s="8">
        <v>106.092</v>
      </c>
      <c r="E499" s="8">
        <v>141.38</v>
      </c>
      <c r="F499" s="13"/>
      <c r="G499" s="13" t="s">
        <v>13</v>
      </c>
      <c r="H499" s="13" t="s">
        <v>29</v>
      </c>
      <c r="I499" s="13" t="s">
        <v>30</v>
      </c>
      <c r="J499" s="17">
        <f t="shared" si="7"/>
        <v>14999.286959999999</v>
      </c>
      <c r="K499" s="15" t="s">
        <v>16</v>
      </c>
      <c r="L499" s="13"/>
      <c r="M499" s="13"/>
      <c r="N499" s="14"/>
    </row>
    <row r="500" spans="1:14" x14ac:dyDescent="0.35">
      <c r="A500" s="16" t="s">
        <v>24</v>
      </c>
      <c r="B500" s="13" t="s">
        <v>25</v>
      </c>
      <c r="C500" s="12">
        <v>44272</v>
      </c>
      <c r="D500" s="8">
        <v>124.98</v>
      </c>
      <c r="E500" s="8">
        <v>40.003799999999998</v>
      </c>
      <c r="F500" s="13"/>
      <c r="G500" s="13" t="s">
        <v>13</v>
      </c>
      <c r="H500" s="13" t="s">
        <v>14</v>
      </c>
      <c r="I500" s="13" t="s">
        <v>26</v>
      </c>
      <c r="J500" s="17">
        <f t="shared" si="7"/>
        <v>4999.6749239999999</v>
      </c>
      <c r="K500" s="15" t="s">
        <v>16</v>
      </c>
      <c r="L500" s="13"/>
      <c r="M500" s="13"/>
      <c r="N500" s="14"/>
    </row>
    <row r="501" spans="1:14" x14ac:dyDescent="0.35">
      <c r="A501" s="16" t="s">
        <v>20</v>
      </c>
      <c r="B501" s="13" t="s">
        <v>34</v>
      </c>
      <c r="C501" s="12">
        <v>44272</v>
      </c>
      <c r="D501" s="8">
        <v>7.8250000000000002</v>
      </c>
      <c r="E501" s="8">
        <v>127.7829</v>
      </c>
      <c r="F501" s="13"/>
      <c r="G501" s="13" t="s">
        <v>13</v>
      </c>
      <c r="H501" s="13" t="s">
        <v>35</v>
      </c>
      <c r="I501" s="13" t="s">
        <v>36</v>
      </c>
      <c r="J501" s="17">
        <f t="shared" si="7"/>
        <v>999.90119249999998</v>
      </c>
      <c r="K501" s="15" t="s">
        <v>16</v>
      </c>
      <c r="L501" s="13"/>
      <c r="M501" s="13"/>
      <c r="N501" s="14"/>
    </row>
    <row r="502" spans="1:14" x14ac:dyDescent="0.35">
      <c r="A502" s="16" t="s">
        <v>20</v>
      </c>
      <c r="B502" s="13" t="s">
        <v>21</v>
      </c>
      <c r="C502" s="12">
        <v>44272</v>
      </c>
      <c r="D502" s="8">
        <v>71.575000000000003</v>
      </c>
      <c r="E502" s="8">
        <v>41.912199999999999</v>
      </c>
      <c r="F502" s="13"/>
      <c r="G502" s="13" t="s">
        <v>13</v>
      </c>
      <c r="H502" s="13" t="s">
        <v>22</v>
      </c>
      <c r="I502" s="13" t="s">
        <v>23</v>
      </c>
      <c r="J502" s="17">
        <f t="shared" si="7"/>
        <v>2999.8657149999999</v>
      </c>
      <c r="K502" s="15" t="s">
        <v>16</v>
      </c>
      <c r="L502" s="13"/>
      <c r="M502" s="13"/>
      <c r="N502" s="14"/>
    </row>
    <row r="503" spans="1:14" x14ac:dyDescent="0.35">
      <c r="A503" s="16" t="s">
        <v>33</v>
      </c>
      <c r="B503" s="13" t="s">
        <v>25</v>
      </c>
      <c r="C503" s="12">
        <v>44272</v>
      </c>
      <c r="D503" s="8">
        <v>249.964</v>
      </c>
      <c r="E503" s="8">
        <v>40.003799999999998</v>
      </c>
      <c r="F503" s="13"/>
      <c r="G503" s="13" t="s">
        <v>31</v>
      </c>
      <c r="H503" s="13" t="s">
        <v>14</v>
      </c>
      <c r="I503" s="13" t="s">
        <v>26</v>
      </c>
      <c r="J503" s="17">
        <f t="shared" si="7"/>
        <v>9999.509863199999</v>
      </c>
      <c r="K503" s="15" t="s">
        <v>32</v>
      </c>
      <c r="L503" s="13"/>
      <c r="M503" s="13"/>
      <c r="N503" s="14"/>
    </row>
    <row r="504" spans="1:14" x14ac:dyDescent="0.35">
      <c r="A504" s="16">
        <v>19915197402</v>
      </c>
      <c r="B504" s="13" t="s">
        <v>28</v>
      </c>
      <c r="C504" s="12">
        <v>44273</v>
      </c>
      <c r="D504" s="8">
        <v>322.77300000000002</v>
      </c>
      <c r="E504" s="8">
        <v>139.41</v>
      </c>
      <c r="F504" s="13"/>
      <c r="G504" s="13" t="s">
        <v>13</v>
      </c>
      <c r="H504" s="13" t="s">
        <v>29</v>
      </c>
      <c r="I504" s="13" t="s">
        <v>30</v>
      </c>
      <c r="J504" s="17">
        <f t="shared" si="7"/>
        <v>44997.783930000005</v>
      </c>
      <c r="K504" s="15" t="s">
        <v>16</v>
      </c>
      <c r="L504" s="13"/>
      <c r="M504" s="13"/>
      <c r="N504" s="14"/>
    </row>
    <row r="505" spans="1:14" x14ac:dyDescent="0.35">
      <c r="A505" s="16" t="s">
        <v>20</v>
      </c>
      <c r="B505" s="13" t="s">
        <v>34</v>
      </c>
      <c r="C505" s="12">
        <v>44273</v>
      </c>
      <c r="D505" s="8">
        <v>15.836</v>
      </c>
      <c r="E505" s="8">
        <v>126.285</v>
      </c>
      <c r="F505" s="13"/>
      <c r="G505" s="13" t="s">
        <v>13</v>
      </c>
      <c r="H505" s="13" t="s">
        <v>35</v>
      </c>
      <c r="I505" s="13" t="s">
        <v>36</v>
      </c>
      <c r="J505" s="17">
        <f t="shared" si="7"/>
        <v>1999.84926</v>
      </c>
      <c r="K505" s="15" t="s">
        <v>16</v>
      </c>
      <c r="L505" s="13"/>
      <c r="M505" s="13"/>
      <c r="N505" s="14"/>
    </row>
    <row r="506" spans="1:14" x14ac:dyDescent="0.35">
      <c r="A506" s="16" t="s">
        <v>33</v>
      </c>
      <c r="B506" s="13" t="s">
        <v>25</v>
      </c>
      <c r="C506" s="12">
        <v>44273</v>
      </c>
      <c r="D506" s="8">
        <v>624.24900000000002</v>
      </c>
      <c r="E506" s="8">
        <v>40.046100000000003</v>
      </c>
      <c r="F506" s="13"/>
      <c r="G506" s="13" t="s">
        <v>31</v>
      </c>
      <c r="H506" s="13" t="s">
        <v>14</v>
      </c>
      <c r="I506" s="13" t="s">
        <v>26</v>
      </c>
      <c r="J506" s="17">
        <f t="shared" si="7"/>
        <v>24998.737878900003</v>
      </c>
      <c r="K506" s="15" t="s">
        <v>32</v>
      </c>
      <c r="L506" s="13"/>
      <c r="M506" s="13"/>
      <c r="N506" s="14"/>
    </row>
    <row r="507" spans="1:14" x14ac:dyDescent="0.35">
      <c r="A507" s="16" t="s">
        <v>49</v>
      </c>
      <c r="B507" s="13" t="s">
        <v>39</v>
      </c>
      <c r="C507" s="12">
        <v>44273</v>
      </c>
      <c r="D507" s="8">
        <v>29.713000000000001</v>
      </c>
      <c r="E507" s="8">
        <v>84.134</v>
      </c>
      <c r="F507" s="13"/>
      <c r="G507" s="13" t="s">
        <v>31</v>
      </c>
      <c r="H507" s="13" t="s">
        <v>40</v>
      </c>
      <c r="I507" s="13" t="s">
        <v>41</v>
      </c>
      <c r="J507" s="17">
        <f t="shared" si="7"/>
        <v>2499.8735420000003</v>
      </c>
      <c r="K507" s="15" t="s">
        <v>32</v>
      </c>
      <c r="L507" s="13"/>
      <c r="M507" s="13"/>
      <c r="N507" s="14"/>
    </row>
    <row r="508" spans="1:14" x14ac:dyDescent="0.35">
      <c r="A508" s="16" t="s">
        <v>24</v>
      </c>
      <c r="B508" s="13" t="s">
        <v>25</v>
      </c>
      <c r="C508" s="12">
        <v>44274</v>
      </c>
      <c r="D508" s="8">
        <v>621.51800000000003</v>
      </c>
      <c r="E508" s="8">
        <v>40.222099999999998</v>
      </c>
      <c r="F508" s="13"/>
      <c r="G508" s="13" t="s">
        <v>13</v>
      </c>
      <c r="H508" s="13" t="s">
        <v>14</v>
      </c>
      <c r="I508" s="13" t="s">
        <v>26</v>
      </c>
      <c r="J508" s="17">
        <f t="shared" si="7"/>
        <v>24998.759147799999</v>
      </c>
      <c r="K508" s="15" t="s">
        <v>16</v>
      </c>
      <c r="L508" s="13"/>
      <c r="M508" s="13"/>
      <c r="N508" s="14"/>
    </row>
    <row r="509" spans="1:14" x14ac:dyDescent="0.35">
      <c r="A509" s="16" t="s">
        <v>37</v>
      </c>
      <c r="B509" s="13" t="s">
        <v>25</v>
      </c>
      <c r="C509" s="12">
        <v>44274</v>
      </c>
      <c r="D509" s="8">
        <v>621.51800000000003</v>
      </c>
      <c r="E509" s="8">
        <v>40.222099999999998</v>
      </c>
      <c r="F509" s="13"/>
      <c r="G509" s="13" t="s">
        <v>38</v>
      </c>
      <c r="H509" s="13"/>
      <c r="I509" s="13" t="s">
        <v>26</v>
      </c>
      <c r="J509" s="17">
        <f t="shared" si="7"/>
        <v>24998.759147799999</v>
      </c>
      <c r="K509" s="15" t="s">
        <v>16</v>
      </c>
      <c r="L509" s="13"/>
      <c r="M509" s="13"/>
      <c r="N509" s="14"/>
    </row>
    <row r="510" spans="1:14" x14ac:dyDescent="0.35">
      <c r="A510" s="16">
        <v>19915197402</v>
      </c>
      <c r="B510" s="13" t="s">
        <v>28</v>
      </c>
      <c r="C510" s="12">
        <v>44277</v>
      </c>
      <c r="D510" s="8">
        <v>177.506</v>
      </c>
      <c r="E510" s="8">
        <v>140.88999999999999</v>
      </c>
      <c r="F510" s="13"/>
      <c r="G510" s="13" t="s">
        <v>13</v>
      </c>
      <c r="H510" s="13" t="s">
        <v>29</v>
      </c>
      <c r="I510" s="13" t="s">
        <v>30</v>
      </c>
      <c r="J510" s="17">
        <f t="shared" si="7"/>
        <v>25008.820339999998</v>
      </c>
      <c r="K510" s="15" t="s">
        <v>16</v>
      </c>
      <c r="L510" s="13"/>
      <c r="M510" s="13"/>
      <c r="N510" s="14"/>
    </row>
    <row r="511" spans="1:14" x14ac:dyDescent="0.35">
      <c r="A511" s="16">
        <v>79931510915</v>
      </c>
      <c r="B511" s="13" t="s">
        <v>39</v>
      </c>
      <c r="C511" s="12">
        <v>44277</v>
      </c>
      <c r="D511" s="8">
        <v>35.97</v>
      </c>
      <c r="E511" s="8">
        <v>83.399000000000001</v>
      </c>
      <c r="F511" s="13"/>
      <c r="G511" s="13" t="s">
        <v>38</v>
      </c>
      <c r="H511" s="13" t="s">
        <v>40</v>
      </c>
      <c r="I511" s="13" t="s">
        <v>41</v>
      </c>
      <c r="J511" s="17">
        <f t="shared" si="7"/>
        <v>2999.8620299999998</v>
      </c>
      <c r="K511" s="15" t="s">
        <v>16</v>
      </c>
      <c r="L511" s="13"/>
      <c r="M511" s="13"/>
      <c r="N511" s="14"/>
    </row>
    <row r="512" spans="1:14" x14ac:dyDescent="0.35">
      <c r="A512" s="16" t="s">
        <v>33</v>
      </c>
      <c r="B512" s="13" t="s">
        <v>25</v>
      </c>
      <c r="C512" s="12">
        <v>44277</v>
      </c>
      <c r="D512" s="8">
        <v>497.24400000000003</v>
      </c>
      <c r="E512" s="8">
        <v>40.239800000000002</v>
      </c>
      <c r="F512" s="13"/>
      <c r="G512" s="13" t="s">
        <v>31</v>
      </c>
      <c r="H512" s="13" t="s">
        <v>14</v>
      </c>
      <c r="I512" s="13" t="s">
        <v>26</v>
      </c>
      <c r="J512" s="17">
        <f t="shared" si="7"/>
        <v>20008.999111200003</v>
      </c>
      <c r="K512" s="15" t="s">
        <v>32</v>
      </c>
      <c r="L512" s="13"/>
      <c r="M512" s="13"/>
      <c r="N512" s="14"/>
    </row>
    <row r="513" spans="1:14" x14ac:dyDescent="0.35">
      <c r="A513" s="16">
        <v>18917658</v>
      </c>
      <c r="B513" s="13" t="s">
        <v>12</v>
      </c>
      <c r="C513" s="12">
        <v>44277</v>
      </c>
      <c r="D513" s="8">
        <v>35.902000000000001</v>
      </c>
      <c r="E513" s="8">
        <v>55.7042</v>
      </c>
      <c r="F513" s="13"/>
      <c r="G513" s="13" t="s">
        <v>31</v>
      </c>
      <c r="H513" s="13" t="s">
        <v>14</v>
      </c>
      <c r="I513" s="13" t="s">
        <v>15</v>
      </c>
      <c r="J513" s="17">
        <f t="shared" si="7"/>
        <v>1999.8921884000001</v>
      </c>
      <c r="K513" s="15" t="s">
        <v>32</v>
      </c>
      <c r="L513" s="13"/>
      <c r="M513" s="13"/>
      <c r="N513" s="14"/>
    </row>
    <row r="514" spans="1:14" x14ac:dyDescent="0.35">
      <c r="A514" s="16">
        <v>19915197402</v>
      </c>
      <c r="B514" s="13" t="s">
        <v>28</v>
      </c>
      <c r="C514" s="12">
        <v>44279</v>
      </c>
      <c r="D514" s="8">
        <v>179.511</v>
      </c>
      <c r="E514" s="8">
        <v>139.26</v>
      </c>
      <c r="F514" s="13"/>
      <c r="G514" s="13" t="s">
        <v>13</v>
      </c>
      <c r="H514" s="13" t="s">
        <v>29</v>
      </c>
      <c r="I514" s="13" t="s">
        <v>30</v>
      </c>
      <c r="J514" s="17">
        <f t="shared" ref="J514:J577" si="8">D514*E514</f>
        <v>24998.701859999997</v>
      </c>
      <c r="K514" s="15" t="s">
        <v>16</v>
      </c>
      <c r="L514" s="13"/>
      <c r="M514" s="13"/>
      <c r="N514" s="14"/>
    </row>
    <row r="515" spans="1:14" x14ac:dyDescent="0.35">
      <c r="A515" s="16" t="s">
        <v>11</v>
      </c>
      <c r="B515" s="13" t="s">
        <v>12</v>
      </c>
      <c r="C515" s="12">
        <v>44279</v>
      </c>
      <c r="D515" s="8">
        <v>54.555</v>
      </c>
      <c r="E515" s="8">
        <v>54.987499999999997</v>
      </c>
      <c r="F515" s="13"/>
      <c r="G515" s="13" t="s">
        <v>13</v>
      </c>
      <c r="H515" s="13" t="s">
        <v>14</v>
      </c>
      <c r="I515" s="13" t="s">
        <v>15</v>
      </c>
      <c r="J515" s="17">
        <f t="shared" si="8"/>
        <v>2999.8430624999996</v>
      </c>
      <c r="K515" s="15" t="s">
        <v>16</v>
      </c>
      <c r="L515" s="13"/>
      <c r="M515" s="13"/>
      <c r="N515" s="14"/>
    </row>
    <row r="516" spans="1:14" x14ac:dyDescent="0.35">
      <c r="A516" s="16" t="s">
        <v>20</v>
      </c>
      <c r="B516" s="13" t="s">
        <v>21</v>
      </c>
      <c r="C516" s="12">
        <v>44279</v>
      </c>
      <c r="D516" s="8">
        <v>24.038</v>
      </c>
      <c r="E516" s="8">
        <v>41.599400000000003</v>
      </c>
      <c r="F516" s="13"/>
      <c r="G516" s="13" t="s">
        <v>13</v>
      </c>
      <c r="H516" s="13" t="s">
        <v>22</v>
      </c>
      <c r="I516" s="13" t="s">
        <v>23</v>
      </c>
      <c r="J516" s="17">
        <f t="shared" si="8"/>
        <v>999.96637720000012</v>
      </c>
      <c r="K516" s="15" t="s">
        <v>16</v>
      </c>
      <c r="L516" s="13"/>
      <c r="M516" s="13"/>
      <c r="N516" s="14"/>
    </row>
    <row r="517" spans="1:14" x14ac:dyDescent="0.35">
      <c r="A517" s="16" t="s">
        <v>33</v>
      </c>
      <c r="B517" s="13" t="s">
        <v>25</v>
      </c>
      <c r="C517" s="12">
        <v>44279</v>
      </c>
      <c r="D517" s="8">
        <v>374.012</v>
      </c>
      <c r="E517" s="8">
        <v>40.103700000000003</v>
      </c>
      <c r="F517" s="13"/>
      <c r="G517" s="13" t="s">
        <v>31</v>
      </c>
      <c r="H517" s="13" t="s">
        <v>14</v>
      </c>
      <c r="I517" s="13" t="s">
        <v>26</v>
      </c>
      <c r="J517" s="17">
        <f t="shared" si="8"/>
        <v>14999.265044400001</v>
      </c>
      <c r="K517" s="15" t="s">
        <v>32</v>
      </c>
      <c r="L517" s="13"/>
      <c r="M517" s="13"/>
      <c r="N517" s="14"/>
    </row>
    <row r="518" spans="1:14" x14ac:dyDescent="0.35">
      <c r="A518" s="16">
        <v>19915197402</v>
      </c>
      <c r="B518" s="13" t="s">
        <v>28</v>
      </c>
      <c r="C518" s="12">
        <v>44280</v>
      </c>
      <c r="D518" s="8">
        <v>727.30899999999997</v>
      </c>
      <c r="E518" s="8">
        <v>137.5</v>
      </c>
      <c r="F518" s="13"/>
      <c r="G518" s="13" t="s">
        <v>13</v>
      </c>
      <c r="H518" s="13" t="s">
        <v>29</v>
      </c>
      <c r="I518" s="13" t="s">
        <v>30</v>
      </c>
      <c r="J518" s="17">
        <f t="shared" si="8"/>
        <v>100004.9875</v>
      </c>
      <c r="K518" s="15" t="s">
        <v>16</v>
      </c>
      <c r="L518" s="13"/>
      <c r="M518" s="13"/>
      <c r="N518" s="14"/>
    </row>
    <row r="519" spans="1:14" x14ac:dyDescent="0.35">
      <c r="A519" s="16" t="s">
        <v>24</v>
      </c>
      <c r="B519" s="13" t="s">
        <v>25</v>
      </c>
      <c r="C519" s="12">
        <v>44280</v>
      </c>
      <c r="D519" s="8">
        <v>508.5</v>
      </c>
      <c r="E519" s="8">
        <v>39.3294</v>
      </c>
      <c r="F519" s="13"/>
      <c r="G519" s="13" t="s">
        <v>13</v>
      </c>
      <c r="H519" s="13" t="s">
        <v>14</v>
      </c>
      <c r="I519" s="13" t="s">
        <v>26</v>
      </c>
      <c r="J519" s="17">
        <f t="shared" si="8"/>
        <v>19998.999899999999</v>
      </c>
      <c r="K519" s="15" t="s">
        <v>16</v>
      </c>
      <c r="L519" s="13"/>
      <c r="M519" s="13"/>
      <c r="N519" s="14"/>
    </row>
    <row r="520" spans="1:14" x14ac:dyDescent="0.35">
      <c r="A520" s="16" t="s">
        <v>33</v>
      </c>
      <c r="B520" s="13" t="s">
        <v>25</v>
      </c>
      <c r="C520" s="12">
        <v>44280</v>
      </c>
      <c r="D520" s="8">
        <v>635.625</v>
      </c>
      <c r="E520" s="8">
        <v>39.3294</v>
      </c>
      <c r="F520" s="13"/>
      <c r="G520" s="13" t="s">
        <v>31</v>
      </c>
      <c r="H520" s="13" t="s">
        <v>14</v>
      </c>
      <c r="I520" s="13" t="s">
        <v>26</v>
      </c>
      <c r="J520" s="17">
        <f t="shared" si="8"/>
        <v>24998.749875000001</v>
      </c>
      <c r="K520" s="15" t="s">
        <v>32</v>
      </c>
      <c r="L520" s="13"/>
      <c r="M520" s="13"/>
      <c r="N520" s="14"/>
    </row>
    <row r="521" spans="1:14" x14ac:dyDescent="0.35">
      <c r="A521" s="16" t="s">
        <v>37</v>
      </c>
      <c r="B521" s="13" t="s">
        <v>25</v>
      </c>
      <c r="C521" s="12">
        <v>44281</v>
      </c>
      <c r="D521" s="8">
        <v>1267.944</v>
      </c>
      <c r="E521" s="8">
        <v>39.435899999999997</v>
      </c>
      <c r="F521" s="13"/>
      <c r="G521" s="13" t="s">
        <v>38</v>
      </c>
      <c r="H521" s="13"/>
      <c r="I521" s="13" t="s">
        <v>26</v>
      </c>
      <c r="J521" s="17">
        <f t="shared" si="8"/>
        <v>50002.512789599998</v>
      </c>
      <c r="K521" s="15" t="s">
        <v>16</v>
      </c>
      <c r="L521" s="13"/>
      <c r="M521" s="13"/>
      <c r="N521" s="14"/>
    </row>
    <row r="522" spans="1:14" x14ac:dyDescent="0.35">
      <c r="A522" s="16">
        <v>19915197402</v>
      </c>
      <c r="B522" s="13" t="s">
        <v>28</v>
      </c>
      <c r="C522" s="12">
        <v>44291</v>
      </c>
      <c r="D522" s="8">
        <v>1034.1110000000001</v>
      </c>
      <c r="E522" s="8">
        <v>140.21</v>
      </c>
      <c r="F522" s="13"/>
      <c r="G522" s="13" t="s">
        <v>13</v>
      </c>
      <c r="H522" s="13" t="s">
        <v>29</v>
      </c>
      <c r="I522" s="13" t="s">
        <v>30</v>
      </c>
      <c r="J522" s="17">
        <f t="shared" si="8"/>
        <v>144992.70331000001</v>
      </c>
      <c r="K522" s="15" t="s">
        <v>16</v>
      </c>
      <c r="L522" s="13"/>
      <c r="M522" s="13"/>
      <c r="N522" s="14"/>
    </row>
    <row r="523" spans="1:14" x14ac:dyDescent="0.35">
      <c r="A523" s="16" t="s">
        <v>24</v>
      </c>
      <c r="B523" s="13" t="s">
        <v>25</v>
      </c>
      <c r="C523" s="12">
        <v>44291</v>
      </c>
      <c r="D523" s="8">
        <v>1887.4059999999999</v>
      </c>
      <c r="E523" s="8">
        <v>40.264899999999997</v>
      </c>
      <c r="F523" s="13"/>
      <c r="G523" s="13" t="s">
        <v>13</v>
      </c>
      <c r="H523" s="13" t="s">
        <v>14</v>
      </c>
      <c r="I523" s="13" t="s">
        <v>26</v>
      </c>
      <c r="J523" s="17">
        <f t="shared" si="8"/>
        <v>75996.213849399996</v>
      </c>
      <c r="K523" s="15" t="s">
        <v>16</v>
      </c>
      <c r="L523" s="13"/>
      <c r="M523" s="13"/>
      <c r="N523" s="14"/>
    </row>
    <row r="524" spans="1:14" x14ac:dyDescent="0.35">
      <c r="A524" s="16" t="s">
        <v>20</v>
      </c>
      <c r="B524" s="13" t="s">
        <v>34</v>
      </c>
      <c r="C524" s="12">
        <v>44291</v>
      </c>
      <c r="D524" s="8">
        <v>23.780999999999999</v>
      </c>
      <c r="E524" s="8">
        <v>126.1463</v>
      </c>
      <c r="F524" s="13"/>
      <c r="G524" s="13" t="s">
        <v>13</v>
      </c>
      <c r="H524" s="13" t="s">
        <v>35</v>
      </c>
      <c r="I524" s="13" t="s">
        <v>36</v>
      </c>
      <c r="J524" s="17">
        <f t="shared" si="8"/>
        <v>2999.8851602999998</v>
      </c>
      <c r="K524" s="15" t="s">
        <v>16</v>
      </c>
      <c r="L524" s="13"/>
      <c r="M524" s="13"/>
      <c r="N524" s="14"/>
    </row>
    <row r="525" spans="1:14" x14ac:dyDescent="0.35">
      <c r="A525" s="16" t="s">
        <v>20</v>
      </c>
      <c r="B525" s="13" t="s">
        <v>21</v>
      </c>
      <c r="C525" s="12">
        <v>44291</v>
      </c>
      <c r="D525" s="8">
        <v>72.043999999999997</v>
      </c>
      <c r="E525" s="8">
        <v>41.639200000000002</v>
      </c>
      <c r="F525" s="13"/>
      <c r="G525" s="13" t="s">
        <v>13</v>
      </c>
      <c r="H525" s="13" t="s">
        <v>22</v>
      </c>
      <c r="I525" s="13" t="s">
        <v>23</v>
      </c>
      <c r="J525" s="17">
        <f t="shared" si="8"/>
        <v>2999.8545248</v>
      </c>
      <c r="K525" s="15" t="s">
        <v>16</v>
      </c>
      <c r="L525" s="13"/>
      <c r="M525" s="13"/>
      <c r="N525" s="14"/>
    </row>
    <row r="526" spans="1:14" x14ac:dyDescent="0.35">
      <c r="A526" s="16" t="s">
        <v>33</v>
      </c>
      <c r="B526" s="13" t="s">
        <v>25</v>
      </c>
      <c r="C526" s="12">
        <v>44291</v>
      </c>
      <c r="D526" s="8">
        <v>1241.7139999999999</v>
      </c>
      <c r="E526" s="8">
        <v>40.264899999999997</v>
      </c>
      <c r="F526" s="13"/>
      <c r="G526" s="13" t="s">
        <v>31</v>
      </c>
      <c r="H526" s="13" t="s">
        <v>14</v>
      </c>
      <c r="I526" s="13" t="s">
        <v>26</v>
      </c>
      <c r="J526" s="17">
        <f t="shared" si="8"/>
        <v>49997.490038599994</v>
      </c>
      <c r="K526" s="15" t="s">
        <v>32</v>
      </c>
      <c r="L526" s="13"/>
      <c r="M526" s="13"/>
      <c r="N526" s="14"/>
    </row>
    <row r="527" spans="1:14" x14ac:dyDescent="0.35">
      <c r="A527" s="16" t="s">
        <v>37</v>
      </c>
      <c r="B527" s="13" t="s">
        <v>25</v>
      </c>
      <c r="C527" s="12">
        <v>44292</v>
      </c>
      <c r="D527" s="8">
        <v>1223.626</v>
      </c>
      <c r="E527" s="8">
        <v>40.860100000000003</v>
      </c>
      <c r="F527" s="13"/>
      <c r="G527" s="13" t="s">
        <v>38</v>
      </c>
      <c r="H527" s="13"/>
      <c r="I527" s="13" t="s">
        <v>26</v>
      </c>
      <c r="J527" s="17">
        <f t="shared" si="8"/>
        <v>49997.480722600005</v>
      </c>
      <c r="K527" s="15" t="s">
        <v>16</v>
      </c>
      <c r="L527" s="13"/>
      <c r="M527" s="13"/>
      <c r="N527" s="14"/>
    </row>
    <row r="528" spans="1:14" x14ac:dyDescent="0.35">
      <c r="A528" s="16">
        <v>79931510915</v>
      </c>
      <c r="B528" s="13" t="s">
        <v>39</v>
      </c>
      <c r="C528" s="12">
        <v>44298</v>
      </c>
      <c r="D528" s="8">
        <v>23.771999999999998</v>
      </c>
      <c r="E528" s="8">
        <v>84.13</v>
      </c>
      <c r="F528" s="13"/>
      <c r="G528" s="13" t="s">
        <v>38</v>
      </c>
      <c r="H528" s="13" t="s">
        <v>40</v>
      </c>
      <c r="I528" s="13" t="s">
        <v>41</v>
      </c>
      <c r="J528" s="17">
        <f t="shared" si="8"/>
        <v>1999.9383599999999</v>
      </c>
      <c r="K528" s="15" t="s">
        <v>16</v>
      </c>
      <c r="L528" s="13"/>
      <c r="M528" s="13"/>
      <c r="N528" s="14"/>
    </row>
    <row r="529" spans="1:14" x14ac:dyDescent="0.35">
      <c r="A529" s="16">
        <v>79933657726</v>
      </c>
      <c r="B529" s="13" t="s">
        <v>39</v>
      </c>
      <c r="C529" s="12">
        <v>44298</v>
      </c>
      <c r="D529" s="8">
        <v>29.713999999999999</v>
      </c>
      <c r="E529" s="8">
        <v>84.13</v>
      </c>
      <c r="F529" s="13"/>
      <c r="G529" s="13" t="s">
        <v>38</v>
      </c>
      <c r="H529" s="13" t="s">
        <v>47</v>
      </c>
      <c r="I529" s="13" t="s">
        <v>41</v>
      </c>
      <c r="J529" s="17">
        <f t="shared" si="8"/>
        <v>2499.8388199999999</v>
      </c>
      <c r="K529" s="15" t="s">
        <v>16</v>
      </c>
      <c r="L529" s="13"/>
      <c r="M529" s="13"/>
      <c r="N529" s="14"/>
    </row>
    <row r="530" spans="1:14" x14ac:dyDescent="0.35">
      <c r="A530" s="16" t="s">
        <v>11</v>
      </c>
      <c r="B530" s="13" t="s">
        <v>42</v>
      </c>
      <c r="C530" s="12">
        <v>44301</v>
      </c>
      <c r="D530" s="8">
        <v>34.430999999999997</v>
      </c>
      <c r="E530" s="8">
        <v>87.125900000000001</v>
      </c>
      <c r="F530" s="13"/>
      <c r="G530" s="13" t="s">
        <v>13</v>
      </c>
      <c r="H530" s="13" t="s">
        <v>40</v>
      </c>
      <c r="I530" s="13" t="s">
        <v>43</v>
      </c>
      <c r="J530" s="17">
        <f t="shared" si="8"/>
        <v>2999.8318629</v>
      </c>
      <c r="K530" s="15" t="s">
        <v>16</v>
      </c>
      <c r="L530" s="13"/>
      <c r="M530" s="13"/>
      <c r="N530" s="14"/>
    </row>
    <row r="531" spans="1:14" x14ac:dyDescent="0.35">
      <c r="A531" s="16" t="s">
        <v>20</v>
      </c>
      <c r="B531" s="13" t="s">
        <v>34</v>
      </c>
      <c r="C531" s="12">
        <v>44301</v>
      </c>
      <c r="D531" s="8">
        <v>7.9889999999999999</v>
      </c>
      <c r="E531" s="8">
        <v>125.1665</v>
      </c>
      <c r="F531" s="13"/>
      <c r="G531" s="13" t="s">
        <v>13</v>
      </c>
      <c r="H531" s="13" t="s">
        <v>35</v>
      </c>
      <c r="I531" s="13" t="s">
        <v>36</v>
      </c>
      <c r="J531" s="17">
        <f t="shared" si="8"/>
        <v>999.95516850000001</v>
      </c>
      <c r="K531" s="15" t="s">
        <v>16</v>
      </c>
      <c r="L531" s="13"/>
      <c r="M531" s="13"/>
      <c r="N531" s="14"/>
    </row>
    <row r="532" spans="1:14" x14ac:dyDescent="0.35">
      <c r="A532" s="16" t="s">
        <v>49</v>
      </c>
      <c r="B532" s="13" t="s">
        <v>39</v>
      </c>
      <c r="C532" s="12">
        <v>44305</v>
      </c>
      <c r="D532" s="8">
        <v>29.908000000000001</v>
      </c>
      <c r="E532" s="8">
        <v>83.585999999999999</v>
      </c>
      <c r="F532" s="13"/>
      <c r="G532" s="13" t="s">
        <v>31</v>
      </c>
      <c r="H532" s="13" t="s">
        <v>40</v>
      </c>
      <c r="I532" s="13" t="s">
        <v>41</v>
      </c>
      <c r="J532" s="17">
        <f t="shared" si="8"/>
        <v>2499.8900880000001</v>
      </c>
      <c r="K532" s="15" t="s">
        <v>32</v>
      </c>
      <c r="L532" s="13"/>
      <c r="M532" s="13"/>
      <c r="N532" s="14"/>
    </row>
    <row r="533" spans="1:14" x14ac:dyDescent="0.35">
      <c r="A533" s="16">
        <v>19915197402</v>
      </c>
      <c r="B533" s="13" t="s">
        <v>28</v>
      </c>
      <c r="C533" s="12">
        <v>44306</v>
      </c>
      <c r="D533" s="8">
        <v>253.886</v>
      </c>
      <c r="E533" s="8">
        <v>137.85</v>
      </c>
      <c r="F533" s="13"/>
      <c r="G533" s="13" t="s">
        <v>13</v>
      </c>
      <c r="H533" s="13" t="s">
        <v>29</v>
      </c>
      <c r="I533" s="13" t="s">
        <v>30</v>
      </c>
      <c r="J533" s="17">
        <f t="shared" si="8"/>
        <v>34998.185099999995</v>
      </c>
      <c r="K533" s="15" t="s">
        <v>16</v>
      </c>
      <c r="L533" s="13"/>
      <c r="M533" s="13"/>
      <c r="N533" s="14"/>
    </row>
    <row r="534" spans="1:14" x14ac:dyDescent="0.35">
      <c r="A534" s="16">
        <v>79931510915</v>
      </c>
      <c r="B534" s="13" t="s">
        <v>39</v>
      </c>
      <c r="C534" s="12">
        <v>44308</v>
      </c>
      <c r="D534" s="8">
        <v>35.933999999999997</v>
      </c>
      <c r="E534" s="8">
        <v>83.483000000000004</v>
      </c>
      <c r="F534" s="13"/>
      <c r="G534" s="13" t="s">
        <v>38</v>
      </c>
      <c r="H534" s="13" t="s">
        <v>40</v>
      </c>
      <c r="I534" s="13" t="s">
        <v>41</v>
      </c>
      <c r="J534" s="17">
        <f t="shared" si="8"/>
        <v>2999.8781220000001</v>
      </c>
      <c r="K534" s="15" t="s">
        <v>16</v>
      </c>
      <c r="L534" s="13"/>
      <c r="M534" s="13"/>
      <c r="N534" s="14"/>
    </row>
    <row r="535" spans="1:14" x14ac:dyDescent="0.35">
      <c r="A535" s="16">
        <v>79931510915</v>
      </c>
      <c r="B535" s="13" t="s">
        <v>39</v>
      </c>
      <c r="C535" s="12">
        <v>44327</v>
      </c>
      <c r="D535" s="8">
        <v>23.05</v>
      </c>
      <c r="E535" s="8">
        <v>86.762</v>
      </c>
      <c r="F535" s="13"/>
      <c r="G535" s="13" t="s">
        <v>38</v>
      </c>
      <c r="H535" s="13" t="s">
        <v>40</v>
      </c>
      <c r="I535" s="13" t="s">
        <v>41</v>
      </c>
      <c r="J535" s="17">
        <f t="shared" si="8"/>
        <v>1999.8641</v>
      </c>
      <c r="K535" s="15" t="s">
        <v>16</v>
      </c>
      <c r="L535" s="13"/>
      <c r="M535" s="13"/>
      <c r="N535" s="14"/>
    </row>
    <row r="536" spans="1:14" x14ac:dyDescent="0.35">
      <c r="A536" s="16">
        <v>79933657726</v>
      </c>
      <c r="B536" s="13" t="s">
        <v>39</v>
      </c>
      <c r="C536" s="12">
        <v>44327</v>
      </c>
      <c r="D536" s="8">
        <v>28.812999999999999</v>
      </c>
      <c r="E536" s="8">
        <v>86.762</v>
      </c>
      <c r="F536" s="13"/>
      <c r="G536" s="13" t="s">
        <v>38</v>
      </c>
      <c r="H536" s="13" t="s">
        <v>47</v>
      </c>
      <c r="I536" s="13" t="s">
        <v>41</v>
      </c>
      <c r="J536" s="17">
        <f t="shared" si="8"/>
        <v>2499.8735059999999</v>
      </c>
      <c r="K536" s="15" t="s">
        <v>16</v>
      </c>
      <c r="L536" s="13"/>
      <c r="M536" s="13"/>
      <c r="N536" s="14"/>
    </row>
    <row r="537" spans="1:14" x14ac:dyDescent="0.35">
      <c r="A537" s="16">
        <v>19915197402</v>
      </c>
      <c r="B537" s="13" t="s">
        <v>28</v>
      </c>
      <c r="C537" s="12">
        <v>44328</v>
      </c>
      <c r="D537" s="8">
        <v>140.03100000000001</v>
      </c>
      <c r="E537" s="8">
        <v>142.88999999999999</v>
      </c>
      <c r="F537" s="13"/>
      <c r="G537" s="13" t="s">
        <v>13</v>
      </c>
      <c r="H537" s="13" t="s">
        <v>29</v>
      </c>
      <c r="I537" s="13" t="s">
        <v>30</v>
      </c>
      <c r="J537" s="17">
        <f t="shared" si="8"/>
        <v>20009.029589999998</v>
      </c>
      <c r="K537" s="15" t="s">
        <v>16</v>
      </c>
      <c r="L537" s="13"/>
      <c r="M537" s="13"/>
      <c r="N537" s="14"/>
    </row>
    <row r="538" spans="1:14" x14ac:dyDescent="0.35">
      <c r="A538" s="16" t="s">
        <v>20</v>
      </c>
      <c r="B538" s="13" t="s">
        <v>34</v>
      </c>
      <c r="C538" s="12">
        <v>44328</v>
      </c>
      <c r="D538" s="8">
        <v>16.030999999999999</v>
      </c>
      <c r="E538" s="8">
        <v>124.75</v>
      </c>
      <c r="F538" s="13"/>
      <c r="G538" s="13" t="s">
        <v>13</v>
      </c>
      <c r="H538" s="13" t="s">
        <v>35</v>
      </c>
      <c r="I538" s="13" t="s">
        <v>36</v>
      </c>
      <c r="J538" s="17">
        <f t="shared" si="8"/>
        <v>1999.8672499999998</v>
      </c>
      <c r="K538" s="15" t="s">
        <v>16</v>
      </c>
      <c r="L538" s="13"/>
      <c r="M538" s="13"/>
      <c r="N538" s="14"/>
    </row>
    <row r="539" spans="1:14" x14ac:dyDescent="0.35">
      <c r="A539" s="16" t="s">
        <v>20</v>
      </c>
      <c r="B539" s="13" t="s">
        <v>21</v>
      </c>
      <c r="C539" s="12">
        <v>44328</v>
      </c>
      <c r="D539" s="8">
        <v>71.492000000000004</v>
      </c>
      <c r="E539" s="8">
        <v>41.9604</v>
      </c>
      <c r="F539" s="13"/>
      <c r="G539" s="13" t="s">
        <v>13</v>
      </c>
      <c r="H539" s="13" t="s">
        <v>22</v>
      </c>
      <c r="I539" s="13" t="s">
        <v>23</v>
      </c>
      <c r="J539" s="17">
        <f t="shared" si="8"/>
        <v>2999.8329168</v>
      </c>
      <c r="K539" s="15" t="s">
        <v>16</v>
      </c>
      <c r="L539" s="13"/>
      <c r="M539" s="13"/>
      <c r="N539" s="14"/>
    </row>
    <row r="540" spans="1:14" x14ac:dyDescent="0.35">
      <c r="A540" s="24" t="s">
        <v>50</v>
      </c>
      <c r="B540" s="13" t="s">
        <v>51</v>
      </c>
      <c r="C540" s="12">
        <v>44328</v>
      </c>
      <c r="D540" s="8">
        <v>27.684000000000001</v>
      </c>
      <c r="E540" s="8">
        <v>180.59800000000001</v>
      </c>
      <c r="F540" s="13"/>
      <c r="G540" s="13" t="s">
        <v>13</v>
      </c>
      <c r="H540" s="13"/>
      <c r="I540" s="13" t="s">
        <v>52</v>
      </c>
      <c r="J540" s="17">
        <f t="shared" si="8"/>
        <v>4999.6750320000001</v>
      </c>
      <c r="K540" s="15" t="s">
        <v>16</v>
      </c>
      <c r="L540" s="13"/>
      <c r="M540" s="13"/>
      <c r="N540" s="14"/>
    </row>
    <row r="541" spans="1:14" x14ac:dyDescent="0.35">
      <c r="A541" s="16" t="s">
        <v>33</v>
      </c>
      <c r="B541" s="13" t="s">
        <v>25</v>
      </c>
      <c r="C541" s="12">
        <v>44328</v>
      </c>
      <c r="D541" s="8">
        <v>592.851</v>
      </c>
      <c r="E541" s="8">
        <v>42.167000000000002</v>
      </c>
      <c r="F541" s="13"/>
      <c r="G541" s="13" t="s">
        <v>31</v>
      </c>
      <c r="H541" s="13" t="s">
        <v>14</v>
      </c>
      <c r="I541" s="13" t="s">
        <v>26</v>
      </c>
      <c r="J541" s="17">
        <f t="shared" si="8"/>
        <v>24998.748116999999</v>
      </c>
      <c r="K541" s="15" t="s">
        <v>32</v>
      </c>
      <c r="L541" s="13"/>
      <c r="M541" s="13"/>
      <c r="N541" s="14"/>
    </row>
    <row r="542" spans="1:14" x14ac:dyDescent="0.35">
      <c r="A542" s="16" t="s">
        <v>37</v>
      </c>
      <c r="B542" s="13" t="s">
        <v>25</v>
      </c>
      <c r="C542" s="12">
        <v>44330</v>
      </c>
      <c r="D542" s="8">
        <v>597.34199999999998</v>
      </c>
      <c r="E542" s="8">
        <v>41.891800000000003</v>
      </c>
      <c r="F542" s="13"/>
      <c r="G542" s="13" t="s">
        <v>38</v>
      </c>
      <c r="H542" s="13"/>
      <c r="I542" s="13" t="s">
        <v>26</v>
      </c>
      <c r="J542" s="17">
        <f t="shared" si="8"/>
        <v>25023.731595600002</v>
      </c>
      <c r="K542" s="15" t="s">
        <v>16</v>
      </c>
      <c r="L542" s="13"/>
      <c r="M542" s="13"/>
      <c r="N542" s="14"/>
    </row>
    <row r="543" spans="1:14" x14ac:dyDescent="0.35">
      <c r="A543" s="16" t="s">
        <v>11</v>
      </c>
      <c r="B543" s="13" t="s">
        <v>42</v>
      </c>
      <c r="C543" s="12">
        <v>44330</v>
      </c>
      <c r="D543" s="8">
        <v>32.509</v>
      </c>
      <c r="E543" s="8">
        <v>92.276499999999999</v>
      </c>
      <c r="F543" s="13"/>
      <c r="G543" s="13" t="s">
        <v>13</v>
      </c>
      <c r="H543" s="13" t="s">
        <v>40</v>
      </c>
      <c r="I543" s="13" t="s">
        <v>43</v>
      </c>
      <c r="J543" s="17">
        <f t="shared" si="8"/>
        <v>2999.8167385000002</v>
      </c>
      <c r="K543" s="15" t="s">
        <v>16</v>
      </c>
      <c r="L543" s="13"/>
      <c r="M543" s="13"/>
      <c r="N543" s="14"/>
    </row>
    <row r="544" spans="1:14" x14ac:dyDescent="0.35">
      <c r="A544" s="16" t="s">
        <v>20</v>
      </c>
      <c r="B544" s="13" t="s">
        <v>34</v>
      </c>
      <c r="C544" s="12">
        <v>44330</v>
      </c>
      <c r="D544" s="8">
        <v>8.0090000000000003</v>
      </c>
      <c r="E544" s="8">
        <v>124.848</v>
      </c>
      <c r="F544" s="13"/>
      <c r="G544" s="13" t="s">
        <v>13</v>
      </c>
      <c r="H544" s="13" t="s">
        <v>35</v>
      </c>
      <c r="I544" s="13" t="s">
        <v>36</v>
      </c>
      <c r="J544" s="17">
        <f t="shared" si="8"/>
        <v>999.90763200000004</v>
      </c>
      <c r="K544" s="15" t="s">
        <v>16</v>
      </c>
      <c r="L544" s="13"/>
      <c r="M544" s="13"/>
      <c r="N544" s="14"/>
    </row>
    <row r="545" spans="1:14" x14ac:dyDescent="0.35">
      <c r="A545" s="16" t="s">
        <v>49</v>
      </c>
      <c r="B545" s="13" t="s">
        <v>39</v>
      </c>
      <c r="C545" s="12">
        <v>44334</v>
      </c>
      <c r="D545" s="8">
        <v>28.158999999999999</v>
      </c>
      <c r="E545" s="8">
        <v>88.775999999999996</v>
      </c>
      <c r="F545" s="13"/>
      <c r="G545" s="13" t="s">
        <v>31</v>
      </c>
      <c r="H545" s="13" t="s">
        <v>40</v>
      </c>
      <c r="I545" s="13" t="s">
        <v>41</v>
      </c>
      <c r="J545" s="17">
        <f t="shared" si="8"/>
        <v>2499.8433839999998</v>
      </c>
      <c r="K545" s="15" t="s">
        <v>32</v>
      </c>
      <c r="L545" s="13"/>
      <c r="M545" s="13"/>
      <c r="N545" s="14"/>
    </row>
    <row r="546" spans="1:14" x14ac:dyDescent="0.35">
      <c r="A546" s="16" t="s">
        <v>33</v>
      </c>
      <c r="B546" s="13" t="s">
        <v>25</v>
      </c>
      <c r="C546" s="12">
        <v>44336</v>
      </c>
      <c r="D546" s="8">
        <v>585.82799999999997</v>
      </c>
      <c r="E546" s="8">
        <v>42.672499999999999</v>
      </c>
      <c r="F546" s="13"/>
      <c r="G546" s="13" t="s">
        <v>31</v>
      </c>
      <c r="H546" s="13" t="s">
        <v>14</v>
      </c>
      <c r="I546" s="13" t="s">
        <v>26</v>
      </c>
      <c r="J546" s="17">
        <f t="shared" si="8"/>
        <v>24998.745329999998</v>
      </c>
      <c r="K546" s="15" t="s">
        <v>32</v>
      </c>
      <c r="L546" s="13"/>
      <c r="M546" s="13"/>
      <c r="N546" s="14"/>
    </row>
    <row r="547" spans="1:14" x14ac:dyDescent="0.35">
      <c r="A547" s="16" t="s">
        <v>37</v>
      </c>
      <c r="B547" s="13" t="s">
        <v>25</v>
      </c>
      <c r="C547" s="12">
        <v>44338</v>
      </c>
      <c r="D547" s="8">
        <v>579.58399999999995</v>
      </c>
      <c r="E547" s="8">
        <v>43.132199999999997</v>
      </c>
      <c r="F547" s="13"/>
      <c r="G547" s="13" t="s">
        <v>38</v>
      </c>
      <c r="H547" s="13"/>
      <c r="I547" s="13" t="s">
        <v>26</v>
      </c>
      <c r="J547" s="17">
        <f t="shared" si="8"/>
        <v>24998.733004799997</v>
      </c>
      <c r="K547" s="15" t="s">
        <v>16</v>
      </c>
      <c r="L547" s="13"/>
      <c r="M547" s="13"/>
      <c r="N547" s="14"/>
    </row>
    <row r="548" spans="1:14" x14ac:dyDescent="0.35">
      <c r="A548" s="16">
        <v>79931510915</v>
      </c>
      <c r="B548" s="13" t="s">
        <v>39</v>
      </c>
      <c r="C548" s="12">
        <v>44340</v>
      </c>
      <c r="D548" s="8">
        <v>33.100999999999999</v>
      </c>
      <c r="E548" s="8">
        <v>90.626999999999995</v>
      </c>
      <c r="F548" s="13"/>
      <c r="G548" s="13" t="s">
        <v>38</v>
      </c>
      <c r="H548" s="13" t="s">
        <v>40</v>
      </c>
      <c r="I548" s="13" t="s">
        <v>41</v>
      </c>
      <c r="J548" s="17">
        <f t="shared" si="8"/>
        <v>2999.8443269999998</v>
      </c>
      <c r="K548" s="15" t="s">
        <v>16</v>
      </c>
      <c r="L548" s="13"/>
      <c r="M548" s="13"/>
      <c r="N548" s="14"/>
    </row>
    <row r="549" spans="1:14" x14ac:dyDescent="0.35">
      <c r="A549" s="16" t="s">
        <v>33</v>
      </c>
      <c r="B549" s="13" t="s">
        <v>25</v>
      </c>
      <c r="C549" s="12">
        <v>44343</v>
      </c>
      <c r="D549" s="8">
        <v>571.62599999999998</v>
      </c>
      <c r="E549" s="8">
        <v>43.732700000000001</v>
      </c>
      <c r="F549" s="13"/>
      <c r="G549" s="13" t="s">
        <v>31</v>
      </c>
      <c r="H549" s="13" t="s">
        <v>14</v>
      </c>
      <c r="I549" s="13" t="s">
        <v>26</v>
      </c>
      <c r="J549" s="17">
        <f t="shared" si="8"/>
        <v>24998.748370199999</v>
      </c>
      <c r="K549" s="15" t="s">
        <v>32</v>
      </c>
      <c r="L549" s="13"/>
      <c r="M549" s="13"/>
      <c r="N549" s="14"/>
    </row>
    <row r="550" spans="1:14" x14ac:dyDescent="0.35">
      <c r="A550" s="16" t="s">
        <v>33</v>
      </c>
      <c r="B550" s="13" t="s">
        <v>25</v>
      </c>
      <c r="C550" s="12">
        <v>44349</v>
      </c>
      <c r="D550" s="8">
        <v>573.44500000000005</v>
      </c>
      <c r="E550" s="8">
        <v>43.594000000000001</v>
      </c>
      <c r="F550" s="13"/>
      <c r="G550" s="13" t="s">
        <v>31</v>
      </c>
      <c r="H550" s="13" t="s">
        <v>14</v>
      </c>
      <c r="I550" s="13" t="s">
        <v>26</v>
      </c>
      <c r="J550" s="17">
        <f t="shared" si="8"/>
        <v>24998.761330000001</v>
      </c>
      <c r="K550" s="15" t="s">
        <v>32</v>
      </c>
      <c r="L550" s="13"/>
      <c r="M550" s="13"/>
      <c r="N550" s="14"/>
    </row>
    <row r="551" spans="1:14" x14ac:dyDescent="0.35">
      <c r="A551" s="16" t="s">
        <v>37</v>
      </c>
      <c r="B551" s="13" t="s">
        <v>25</v>
      </c>
      <c r="C551" s="12">
        <v>44350</v>
      </c>
      <c r="D551" s="8">
        <v>916.346</v>
      </c>
      <c r="E551" s="8">
        <v>43.654899999999998</v>
      </c>
      <c r="F551" s="13"/>
      <c r="G551" s="13" t="s">
        <v>38</v>
      </c>
      <c r="H551" s="13"/>
      <c r="I551" s="13" t="s">
        <v>26</v>
      </c>
      <c r="J551" s="17">
        <f t="shared" si="8"/>
        <v>40002.992995399996</v>
      </c>
      <c r="K551" s="15" t="s">
        <v>16</v>
      </c>
      <c r="L551" s="13"/>
      <c r="M551" s="13"/>
      <c r="N551" s="14"/>
    </row>
    <row r="552" spans="1:14" x14ac:dyDescent="0.35">
      <c r="A552" s="16">
        <v>79931510915</v>
      </c>
      <c r="B552" s="13" t="s">
        <v>39</v>
      </c>
      <c r="C552" s="12">
        <v>44358</v>
      </c>
      <c r="D552" s="8">
        <v>21.306999999999999</v>
      </c>
      <c r="E552" s="8">
        <v>93.86</v>
      </c>
      <c r="F552" s="13"/>
      <c r="G552" s="13" t="s">
        <v>38</v>
      </c>
      <c r="H552" s="13" t="s">
        <v>40</v>
      </c>
      <c r="I552" s="13" t="s">
        <v>41</v>
      </c>
      <c r="J552" s="17">
        <f t="shared" si="8"/>
        <v>1999.8750199999999</v>
      </c>
      <c r="K552" s="15" t="s">
        <v>16</v>
      </c>
      <c r="L552" s="13"/>
      <c r="M552" s="13"/>
      <c r="N552" s="14"/>
    </row>
    <row r="553" spans="1:14" x14ac:dyDescent="0.35">
      <c r="A553" s="16">
        <v>79933657726</v>
      </c>
      <c r="B553" s="13" t="s">
        <v>39</v>
      </c>
      <c r="C553" s="12">
        <v>44358</v>
      </c>
      <c r="D553" s="8">
        <v>26.634</v>
      </c>
      <c r="E553" s="8">
        <v>93.86</v>
      </c>
      <c r="F553" s="13"/>
      <c r="G553" s="13" t="s">
        <v>38</v>
      </c>
      <c r="H553" s="13" t="s">
        <v>47</v>
      </c>
      <c r="I553" s="13" t="s">
        <v>41</v>
      </c>
      <c r="J553" s="17">
        <f t="shared" si="8"/>
        <v>2499.86724</v>
      </c>
      <c r="K553" s="15" t="s">
        <v>16</v>
      </c>
      <c r="L553" s="13"/>
      <c r="M553" s="13"/>
      <c r="N553" s="14"/>
    </row>
    <row r="554" spans="1:14" x14ac:dyDescent="0.35">
      <c r="A554" s="16" t="s">
        <v>11</v>
      </c>
      <c r="B554" s="13" t="s">
        <v>42</v>
      </c>
      <c r="C554" s="12">
        <v>44361</v>
      </c>
      <c r="D554" s="8">
        <v>30.23</v>
      </c>
      <c r="E554" s="8">
        <v>99.233900000000006</v>
      </c>
      <c r="F554" s="13"/>
      <c r="G554" s="13" t="s">
        <v>13</v>
      </c>
      <c r="H554" s="13" t="s">
        <v>40</v>
      </c>
      <c r="I554" s="13" t="s">
        <v>43</v>
      </c>
      <c r="J554" s="17">
        <f t="shared" si="8"/>
        <v>2999.8407970000003</v>
      </c>
      <c r="K554" s="15" t="s">
        <v>16</v>
      </c>
      <c r="L554" s="13"/>
      <c r="M554" s="13"/>
      <c r="N554" s="14"/>
    </row>
    <row r="555" spans="1:14" x14ac:dyDescent="0.35">
      <c r="A555" s="16" t="s">
        <v>20</v>
      </c>
      <c r="B555" s="13" t="s">
        <v>34</v>
      </c>
      <c r="C555" s="12">
        <v>44361</v>
      </c>
      <c r="D555" s="8">
        <v>7.4109999999999996</v>
      </c>
      <c r="E555" s="8">
        <v>134.93389999999999</v>
      </c>
      <c r="F555" s="13"/>
      <c r="G555" s="13" t="s">
        <v>13</v>
      </c>
      <c r="H555" s="13" t="s">
        <v>35</v>
      </c>
      <c r="I555" s="13" t="s">
        <v>36</v>
      </c>
      <c r="J555" s="17">
        <f t="shared" si="8"/>
        <v>999.99513289999993</v>
      </c>
      <c r="K555" s="15" t="s">
        <v>16</v>
      </c>
      <c r="L555" s="13"/>
      <c r="M555" s="13"/>
      <c r="N555" s="14"/>
    </row>
    <row r="556" spans="1:14" x14ac:dyDescent="0.35">
      <c r="A556" s="16">
        <v>19915197402</v>
      </c>
      <c r="B556" s="13" t="s">
        <v>28</v>
      </c>
      <c r="C556" s="12">
        <v>44364</v>
      </c>
      <c r="D556" s="8">
        <v>96.18</v>
      </c>
      <c r="E556" s="8">
        <v>155.94999999999999</v>
      </c>
      <c r="F556" s="13"/>
      <c r="G556" s="13" t="s">
        <v>13</v>
      </c>
      <c r="H556" s="13" t="s">
        <v>29</v>
      </c>
      <c r="I556" s="13" t="s">
        <v>30</v>
      </c>
      <c r="J556" s="17">
        <f t="shared" si="8"/>
        <v>14999.271000000001</v>
      </c>
      <c r="K556" s="15" t="s">
        <v>16</v>
      </c>
      <c r="L556" s="13"/>
      <c r="M556" s="13"/>
      <c r="N556" s="14"/>
    </row>
    <row r="557" spans="1:14" x14ac:dyDescent="0.35">
      <c r="A557" s="16" t="s">
        <v>20</v>
      </c>
      <c r="B557" s="13" t="s">
        <v>21</v>
      </c>
      <c r="C557" s="12">
        <v>44364</v>
      </c>
      <c r="D557" s="8">
        <v>87.891000000000005</v>
      </c>
      <c r="E557" s="8">
        <v>45.508699999999997</v>
      </c>
      <c r="F557" s="13"/>
      <c r="G557" s="13" t="s">
        <v>13</v>
      </c>
      <c r="H557" s="13" t="s">
        <v>22</v>
      </c>
      <c r="I557" s="13" t="s">
        <v>23</v>
      </c>
      <c r="J557" s="17">
        <f t="shared" si="8"/>
        <v>3999.8051516999999</v>
      </c>
      <c r="K557" s="15" t="s">
        <v>16</v>
      </c>
      <c r="L557" s="13"/>
      <c r="M557" s="13"/>
      <c r="N557" s="14"/>
    </row>
    <row r="558" spans="1:14" x14ac:dyDescent="0.35">
      <c r="A558" s="24" t="s">
        <v>50</v>
      </c>
      <c r="B558" s="13" t="s">
        <v>51</v>
      </c>
      <c r="C558" s="12">
        <v>44364</v>
      </c>
      <c r="D558" s="8">
        <v>26.021999999999998</v>
      </c>
      <c r="E558" s="8">
        <v>192.13300000000001</v>
      </c>
      <c r="F558" s="13"/>
      <c r="G558" s="13" t="s">
        <v>13</v>
      </c>
      <c r="H558" s="13"/>
      <c r="I558" s="13" t="s">
        <v>52</v>
      </c>
      <c r="J558" s="17">
        <f t="shared" si="8"/>
        <v>4999.6849259999999</v>
      </c>
      <c r="K558" s="15" t="s">
        <v>16</v>
      </c>
      <c r="L558" s="13"/>
      <c r="M558" s="13"/>
      <c r="N558" s="14"/>
    </row>
    <row r="559" spans="1:14" x14ac:dyDescent="0.35">
      <c r="A559" s="16">
        <v>19915197402</v>
      </c>
      <c r="B559" s="13" t="s">
        <v>28</v>
      </c>
      <c r="C559" s="12">
        <v>44365</v>
      </c>
      <c r="D559" s="8">
        <v>64.338999999999999</v>
      </c>
      <c r="E559" s="8">
        <v>155.41999999999999</v>
      </c>
      <c r="F559" s="13"/>
      <c r="G559" s="13" t="s">
        <v>13</v>
      </c>
      <c r="H559" s="13" t="s">
        <v>29</v>
      </c>
      <c r="I559" s="13" t="s">
        <v>30</v>
      </c>
      <c r="J559" s="17">
        <f t="shared" si="8"/>
        <v>9999.5673799999986</v>
      </c>
      <c r="K559" s="15" t="s">
        <v>16</v>
      </c>
      <c r="L559" s="13"/>
      <c r="M559" s="13"/>
      <c r="N559" s="14"/>
    </row>
    <row r="560" spans="1:14" x14ac:dyDescent="0.35">
      <c r="A560" s="24" t="s">
        <v>50</v>
      </c>
      <c r="B560" s="13" t="s">
        <v>51</v>
      </c>
      <c r="C560" s="12">
        <v>44365</v>
      </c>
      <c r="D560" s="8">
        <v>78.245999999999995</v>
      </c>
      <c r="E560" s="8">
        <v>191.69300000000001</v>
      </c>
      <c r="F560" s="13"/>
      <c r="G560" s="13" t="s">
        <v>13</v>
      </c>
      <c r="H560" s="13"/>
      <c r="I560" s="13" t="s">
        <v>52</v>
      </c>
      <c r="J560" s="17">
        <f t="shared" si="8"/>
        <v>14999.210478000001</v>
      </c>
      <c r="K560" s="15" t="s">
        <v>16</v>
      </c>
      <c r="L560" s="13"/>
      <c r="M560" s="13"/>
      <c r="N560" s="14"/>
    </row>
    <row r="561" spans="1:14" x14ac:dyDescent="0.35">
      <c r="A561" s="16" t="s">
        <v>33</v>
      </c>
      <c r="B561" s="13" t="s">
        <v>25</v>
      </c>
      <c r="C561" s="12">
        <v>44365</v>
      </c>
      <c r="D561" s="8">
        <v>225.14099999999999</v>
      </c>
      <c r="E561" s="8">
        <v>44.414400000000001</v>
      </c>
      <c r="F561" s="13"/>
      <c r="G561" s="13" t="s">
        <v>31</v>
      </c>
      <c r="H561" s="13" t="s">
        <v>14</v>
      </c>
      <c r="I561" s="13" t="s">
        <v>26</v>
      </c>
      <c r="J561" s="17">
        <f t="shared" si="8"/>
        <v>9999.5024303999999</v>
      </c>
      <c r="K561" s="15" t="s">
        <v>32</v>
      </c>
      <c r="L561" s="13"/>
      <c r="M561" s="13"/>
      <c r="N561" s="14"/>
    </row>
    <row r="562" spans="1:14" x14ac:dyDescent="0.35">
      <c r="A562" s="16" t="s">
        <v>49</v>
      </c>
      <c r="B562" s="13" t="s">
        <v>39</v>
      </c>
      <c r="C562" s="12">
        <v>44365</v>
      </c>
      <c r="D562" s="8">
        <v>26.777999999999999</v>
      </c>
      <c r="E562" s="8">
        <v>93.356999999999999</v>
      </c>
      <c r="F562" s="13"/>
      <c r="G562" s="13" t="s">
        <v>31</v>
      </c>
      <c r="H562" s="13" t="s">
        <v>40</v>
      </c>
      <c r="I562" s="13" t="s">
        <v>41</v>
      </c>
      <c r="J562" s="17">
        <f t="shared" si="8"/>
        <v>2499.9137459999997</v>
      </c>
      <c r="K562" s="15" t="s">
        <v>32</v>
      </c>
      <c r="L562" s="13"/>
      <c r="M562" s="13"/>
      <c r="N562" s="14"/>
    </row>
    <row r="563" spans="1:14" x14ac:dyDescent="0.35">
      <c r="A563" s="16" t="s">
        <v>33</v>
      </c>
      <c r="B563" s="13" t="s">
        <v>25</v>
      </c>
      <c r="C563" s="12">
        <v>44368</v>
      </c>
      <c r="D563" s="8">
        <v>338.27699999999999</v>
      </c>
      <c r="E563" s="8">
        <v>44.3401</v>
      </c>
      <c r="F563" s="13"/>
      <c r="G563" s="13" t="s">
        <v>31</v>
      </c>
      <c r="H563" s="13" t="s">
        <v>14</v>
      </c>
      <c r="I563" s="13" t="s">
        <v>26</v>
      </c>
      <c r="J563" s="17">
        <f t="shared" si="8"/>
        <v>14999.236007699999</v>
      </c>
      <c r="K563" s="15" t="s">
        <v>32</v>
      </c>
      <c r="L563" s="13"/>
      <c r="M563" s="13"/>
      <c r="N563" s="14"/>
    </row>
    <row r="564" spans="1:14" x14ac:dyDescent="0.35">
      <c r="A564" s="16">
        <v>79931510915</v>
      </c>
      <c r="B564" s="13" t="s">
        <v>39</v>
      </c>
      <c r="C564" s="12">
        <v>44369</v>
      </c>
      <c r="D564" s="8">
        <v>31.850999999999999</v>
      </c>
      <c r="E564" s="8">
        <v>94.183000000000007</v>
      </c>
      <c r="F564" s="13"/>
      <c r="G564" s="13" t="s">
        <v>38</v>
      </c>
      <c r="H564" s="13" t="s">
        <v>40</v>
      </c>
      <c r="I564" s="13" t="s">
        <v>41</v>
      </c>
      <c r="J564" s="17">
        <f t="shared" si="8"/>
        <v>2999.822733</v>
      </c>
      <c r="K564" s="15" t="s">
        <v>16</v>
      </c>
      <c r="L564" s="13"/>
      <c r="M564" s="13"/>
      <c r="N564" s="14"/>
    </row>
    <row r="565" spans="1:14" x14ac:dyDescent="0.35">
      <c r="A565" s="16">
        <v>19915197402</v>
      </c>
      <c r="B565" s="13" t="s">
        <v>28</v>
      </c>
      <c r="C565" s="12">
        <v>44376</v>
      </c>
      <c r="D565" s="8">
        <v>315.94</v>
      </c>
      <c r="E565" s="8">
        <v>158.25</v>
      </c>
      <c r="F565" s="13"/>
      <c r="G565" s="13" t="s">
        <v>13</v>
      </c>
      <c r="H565" s="13" t="s">
        <v>29</v>
      </c>
      <c r="I565" s="13" t="s">
        <v>30</v>
      </c>
      <c r="J565" s="17">
        <f t="shared" si="8"/>
        <v>49997.504999999997</v>
      </c>
      <c r="K565" s="15" t="s">
        <v>16</v>
      </c>
      <c r="L565" s="13"/>
      <c r="M565" s="13"/>
      <c r="N565" s="14"/>
    </row>
    <row r="566" spans="1:14" x14ac:dyDescent="0.35">
      <c r="A566" s="16" t="s">
        <v>33</v>
      </c>
      <c r="B566" s="13" t="s">
        <v>25</v>
      </c>
      <c r="C566" s="12">
        <v>44378</v>
      </c>
      <c r="D566" s="8">
        <v>1101.1079999999999</v>
      </c>
      <c r="E566" s="8">
        <v>45.406500000000001</v>
      </c>
      <c r="F566" s="13"/>
      <c r="G566" s="13" t="s">
        <v>31</v>
      </c>
      <c r="H566" s="13" t="s">
        <v>14</v>
      </c>
      <c r="I566" s="13" t="s">
        <v>26</v>
      </c>
      <c r="J566" s="17">
        <f t="shared" si="8"/>
        <v>49997.460401999997</v>
      </c>
      <c r="K566" s="15" t="s">
        <v>32</v>
      </c>
      <c r="L566" s="13"/>
      <c r="M566" s="13"/>
      <c r="N566" s="14"/>
    </row>
    <row r="567" spans="1:14" x14ac:dyDescent="0.35">
      <c r="A567" s="16">
        <v>19915197402</v>
      </c>
      <c r="B567" s="13" t="s">
        <v>28</v>
      </c>
      <c r="C567" s="12">
        <v>44384</v>
      </c>
      <c r="D567" s="8">
        <v>929.25</v>
      </c>
      <c r="E567" s="8">
        <v>161.52000000000001</v>
      </c>
      <c r="F567" s="13"/>
      <c r="G567" s="13" t="s">
        <v>13</v>
      </c>
      <c r="H567" s="13" t="s">
        <v>29</v>
      </c>
      <c r="I567" s="13" t="s">
        <v>30</v>
      </c>
      <c r="J567" s="17">
        <f t="shared" si="8"/>
        <v>150092.46000000002</v>
      </c>
      <c r="K567" s="15" t="s">
        <v>16</v>
      </c>
      <c r="L567" s="13"/>
      <c r="M567" s="13"/>
      <c r="N567" s="14"/>
    </row>
    <row r="568" spans="1:14" x14ac:dyDescent="0.35">
      <c r="A568" s="16" t="s">
        <v>33</v>
      </c>
      <c r="B568" s="13" t="s">
        <v>25</v>
      </c>
      <c r="C568" s="12">
        <v>44384</v>
      </c>
      <c r="D568" s="8">
        <v>543.274</v>
      </c>
      <c r="E568" s="8">
        <v>46.199100000000001</v>
      </c>
      <c r="F568" s="13"/>
      <c r="G568" s="13" t="s">
        <v>31</v>
      </c>
      <c r="H568" s="13" t="s">
        <v>14</v>
      </c>
      <c r="I568" s="13" t="s">
        <v>26</v>
      </c>
      <c r="J568" s="17">
        <f t="shared" si="8"/>
        <v>25098.769853400001</v>
      </c>
      <c r="K568" s="15" t="s">
        <v>32</v>
      </c>
      <c r="L568" s="13"/>
      <c r="M568" s="13"/>
      <c r="N568" s="14"/>
    </row>
    <row r="569" spans="1:14" x14ac:dyDescent="0.35">
      <c r="A569" s="16">
        <v>19915197402</v>
      </c>
      <c r="B569" s="13" t="s">
        <v>28</v>
      </c>
      <c r="C569" s="12">
        <v>44385</v>
      </c>
      <c r="D569" s="8">
        <v>311.47199999999998</v>
      </c>
      <c r="E569" s="8">
        <v>160.52000000000001</v>
      </c>
      <c r="F569" s="13"/>
      <c r="G569" s="13" t="s">
        <v>13</v>
      </c>
      <c r="H569" s="13" t="s">
        <v>29</v>
      </c>
      <c r="I569" s="13" t="s">
        <v>30</v>
      </c>
      <c r="J569" s="17">
        <f t="shared" si="8"/>
        <v>49997.485439999997</v>
      </c>
      <c r="K569" s="15" t="s">
        <v>16</v>
      </c>
      <c r="L569" s="13"/>
      <c r="M569" s="13"/>
      <c r="N569" s="14"/>
    </row>
    <row r="570" spans="1:14" x14ac:dyDescent="0.35">
      <c r="A570" s="16" t="s">
        <v>24</v>
      </c>
      <c r="B570" s="13" t="s">
        <v>25</v>
      </c>
      <c r="C570" s="12">
        <v>44385</v>
      </c>
      <c r="D570" s="8">
        <v>2144.1329999999998</v>
      </c>
      <c r="E570" s="8">
        <v>46.170200000000001</v>
      </c>
      <c r="F570" s="13"/>
      <c r="G570" s="13" t="s">
        <v>13</v>
      </c>
      <c r="H570" s="13" t="s">
        <v>14</v>
      </c>
      <c r="I570" s="13" t="s">
        <v>26</v>
      </c>
      <c r="J570" s="17">
        <f t="shared" si="8"/>
        <v>98995.049436599991</v>
      </c>
      <c r="K570" s="15" t="s">
        <v>16</v>
      </c>
      <c r="L570" s="13"/>
      <c r="M570" s="13"/>
      <c r="N570" s="14"/>
    </row>
    <row r="571" spans="1:14" x14ac:dyDescent="0.35">
      <c r="A571" s="16" t="s">
        <v>20</v>
      </c>
      <c r="B571" s="13" t="s">
        <v>21</v>
      </c>
      <c r="C571" s="12">
        <v>44385</v>
      </c>
      <c r="D571" s="8">
        <v>218.12299999999999</v>
      </c>
      <c r="E571" s="8">
        <v>45.843400000000003</v>
      </c>
      <c r="F571" s="13"/>
      <c r="G571" s="13" t="s">
        <v>13</v>
      </c>
      <c r="H571" s="13" t="s">
        <v>22</v>
      </c>
      <c r="I571" s="13" t="s">
        <v>23</v>
      </c>
      <c r="J571" s="17">
        <f t="shared" si="8"/>
        <v>9999.4999382000005</v>
      </c>
      <c r="K571" s="15" t="s">
        <v>16</v>
      </c>
      <c r="L571" s="13"/>
      <c r="M571" s="13"/>
      <c r="N571" s="14"/>
    </row>
    <row r="572" spans="1:14" x14ac:dyDescent="0.35">
      <c r="A572" s="24" t="s">
        <v>50</v>
      </c>
      <c r="B572" s="13" t="s">
        <v>51</v>
      </c>
      <c r="C572" s="12">
        <v>44385</v>
      </c>
      <c r="D572" s="8">
        <v>380.89699999999999</v>
      </c>
      <c r="E572" s="8">
        <v>196.89400000000001</v>
      </c>
      <c r="F572" s="13"/>
      <c r="G572" s="13" t="s">
        <v>13</v>
      </c>
      <c r="H572" s="13"/>
      <c r="I572" s="13" t="s">
        <v>52</v>
      </c>
      <c r="J572" s="17">
        <f t="shared" si="8"/>
        <v>74996.333918000004</v>
      </c>
      <c r="K572" s="15" t="s">
        <v>16</v>
      </c>
      <c r="L572" s="13"/>
      <c r="M572" s="13"/>
      <c r="N572" s="14"/>
    </row>
    <row r="573" spans="1:14" x14ac:dyDescent="0.35">
      <c r="A573" s="16">
        <v>19915197402</v>
      </c>
      <c r="B573" s="13" t="s">
        <v>28</v>
      </c>
      <c r="C573" s="12">
        <v>44386</v>
      </c>
      <c r="D573" s="8">
        <v>311.76499999999999</v>
      </c>
      <c r="E573" s="8">
        <v>160.69</v>
      </c>
      <c r="F573" s="13"/>
      <c r="G573" s="13" t="s">
        <v>13</v>
      </c>
      <c r="H573" s="13" t="s">
        <v>29</v>
      </c>
      <c r="I573" s="13" t="s">
        <v>30</v>
      </c>
      <c r="J573" s="17">
        <f t="shared" si="8"/>
        <v>50097.517849999997</v>
      </c>
      <c r="K573" s="15" t="s">
        <v>16</v>
      </c>
      <c r="L573" s="13"/>
      <c r="M573" s="13"/>
      <c r="N573" s="14"/>
    </row>
    <row r="574" spans="1:14" x14ac:dyDescent="0.35">
      <c r="A574" s="16">
        <v>79931510915</v>
      </c>
      <c r="B574" s="13" t="s">
        <v>39</v>
      </c>
      <c r="C574" s="12">
        <v>44389</v>
      </c>
      <c r="D574" s="8">
        <v>20.721</v>
      </c>
      <c r="E574" s="8">
        <v>96.516999999999996</v>
      </c>
      <c r="F574" s="13"/>
      <c r="G574" s="13" t="s">
        <v>38</v>
      </c>
      <c r="H574" s="13" t="s">
        <v>40</v>
      </c>
      <c r="I574" s="13" t="s">
        <v>41</v>
      </c>
      <c r="J574" s="17">
        <f t="shared" si="8"/>
        <v>1999.9287569999999</v>
      </c>
      <c r="K574" s="15" t="s">
        <v>16</v>
      </c>
      <c r="L574" s="13"/>
      <c r="M574" s="13"/>
      <c r="N574" s="14"/>
    </row>
    <row r="575" spans="1:14" x14ac:dyDescent="0.35">
      <c r="A575" s="16" t="s">
        <v>11</v>
      </c>
      <c r="B575" s="13" t="s">
        <v>42</v>
      </c>
      <c r="C575" s="12">
        <v>44390</v>
      </c>
      <c r="D575" s="8">
        <v>28.658999999999999</v>
      </c>
      <c r="E575" s="8">
        <v>104.6746</v>
      </c>
      <c r="F575" s="13"/>
      <c r="G575" s="13" t="s">
        <v>13</v>
      </c>
      <c r="H575" s="13" t="s">
        <v>40</v>
      </c>
      <c r="I575" s="13" t="s">
        <v>43</v>
      </c>
      <c r="J575" s="17">
        <f t="shared" si="8"/>
        <v>2999.8693613999999</v>
      </c>
      <c r="K575" s="15" t="s">
        <v>16</v>
      </c>
      <c r="L575" s="13"/>
      <c r="M575" s="13"/>
      <c r="N575" s="14"/>
    </row>
    <row r="576" spans="1:14" x14ac:dyDescent="0.35">
      <c r="A576" s="16" t="s">
        <v>20</v>
      </c>
      <c r="B576" s="13" t="s">
        <v>34</v>
      </c>
      <c r="C576" s="12">
        <v>44390</v>
      </c>
      <c r="D576" s="8">
        <v>7.38</v>
      </c>
      <c r="E576" s="8">
        <v>135.48759999999999</v>
      </c>
      <c r="F576" s="13"/>
      <c r="G576" s="13" t="s">
        <v>13</v>
      </c>
      <c r="H576" s="13" t="s">
        <v>35</v>
      </c>
      <c r="I576" s="13" t="s">
        <v>36</v>
      </c>
      <c r="J576" s="17">
        <f t="shared" si="8"/>
        <v>999.89848799999993</v>
      </c>
      <c r="K576" s="15" t="s">
        <v>16</v>
      </c>
      <c r="L576" s="13"/>
      <c r="M576" s="13"/>
      <c r="N576" s="14"/>
    </row>
    <row r="577" spans="1:14" x14ac:dyDescent="0.35">
      <c r="A577" s="16" t="s">
        <v>49</v>
      </c>
      <c r="B577" s="13" t="s">
        <v>39</v>
      </c>
      <c r="C577" s="12">
        <v>44396</v>
      </c>
      <c r="D577" s="8">
        <v>25.777000000000001</v>
      </c>
      <c r="E577" s="8">
        <v>96.980999999999995</v>
      </c>
      <c r="F577" s="13"/>
      <c r="G577" s="13" t="s">
        <v>31</v>
      </c>
      <c r="H577" s="13" t="s">
        <v>40</v>
      </c>
      <c r="I577" s="13" t="s">
        <v>41</v>
      </c>
      <c r="J577" s="17">
        <f t="shared" si="8"/>
        <v>2499.8792370000001</v>
      </c>
      <c r="K577" s="15" t="s">
        <v>32</v>
      </c>
      <c r="L577" s="13"/>
      <c r="M577" s="13"/>
      <c r="N577" s="14"/>
    </row>
    <row r="578" spans="1:14" x14ac:dyDescent="0.35">
      <c r="A578" s="16">
        <v>19915197402</v>
      </c>
      <c r="B578" s="13" t="s">
        <v>28</v>
      </c>
      <c r="C578" s="12">
        <v>44397</v>
      </c>
      <c r="D578" s="8">
        <v>154.95400000000001</v>
      </c>
      <c r="E578" s="8">
        <v>161.33000000000001</v>
      </c>
      <c r="F578" s="13"/>
      <c r="G578" s="13" t="s">
        <v>13</v>
      </c>
      <c r="H578" s="13" t="s">
        <v>29</v>
      </c>
      <c r="I578" s="13" t="s">
        <v>30</v>
      </c>
      <c r="J578" s="17">
        <f t="shared" ref="J578:J641" si="9">D578*E578</f>
        <v>24998.728820000004</v>
      </c>
      <c r="K578" s="15" t="s">
        <v>16</v>
      </c>
      <c r="L578" s="13"/>
      <c r="M578" s="13"/>
      <c r="N578" s="14"/>
    </row>
    <row r="579" spans="1:14" x14ac:dyDescent="0.35">
      <c r="A579" s="16">
        <v>79931510915</v>
      </c>
      <c r="B579" s="13" t="s">
        <v>39</v>
      </c>
      <c r="C579" s="12">
        <v>44399</v>
      </c>
      <c r="D579" s="8">
        <v>30.725000000000001</v>
      </c>
      <c r="E579" s="8">
        <v>97.634</v>
      </c>
      <c r="F579" s="13"/>
      <c r="G579" s="13" t="s">
        <v>38</v>
      </c>
      <c r="H579" s="13" t="s">
        <v>40</v>
      </c>
      <c r="I579" s="13" t="s">
        <v>41</v>
      </c>
      <c r="J579" s="17">
        <f t="shared" si="9"/>
        <v>2999.80465</v>
      </c>
      <c r="K579" s="15" t="s">
        <v>16</v>
      </c>
      <c r="L579" s="13"/>
      <c r="M579" s="13"/>
      <c r="N579" s="14"/>
    </row>
    <row r="580" spans="1:14" x14ac:dyDescent="0.35">
      <c r="A580" s="16" t="s">
        <v>53</v>
      </c>
      <c r="B580" s="13" t="s">
        <v>54</v>
      </c>
      <c r="C580" s="12">
        <v>44405</v>
      </c>
      <c r="D580" s="8">
        <v>82.462999999999994</v>
      </c>
      <c r="E580" s="8">
        <v>60.63</v>
      </c>
      <c r="F580" s="13"/>
      <c r="G580" s="13" t="s">
        <v>38</v>
      </c>
      <c r="H580" s="13" t="s">
        <v>40</v>
      </c>
      <c r="I580" s="13" t="s">
        <v>55</v>
      </c>
      <c r="J580" s="17">
        <f t="shared" si="9"/>
        <v>4999.7316899999996</v>
      </c>
      <c r="K580" s="15" t="s">
        <v>16</v>
      </c>
      <c r="L580" s="13"/>
      <c r="M580" s="13"/>
      <c r="N580" s="14"/>
    </row>
    <row r="581" spans="1:14" x14ac:dyDescent="0.35">
      <c r="A581" s="16" t="s">
        <v>53</v>
      </c>
      <c r="B581" s="13" t="s">
        <v>54</v>
      </c>
      <c r="C581" s="12">
        <v>44414</v>
      </c>
      <c r="D581" s="8">
        <v>81.870999999999995</v>
      </c>
      <c r="E581" s="8">
        <v>61.13</v>
      </c>
      <c r="F581" s="13"/>
      <c r="G581" s="13" t="s">
        <v>38</v>
      </c>
      <c r="H581" s="13" t="s">
        <v>40</v>
      </c>
      <c r="I581" s="13" t="s">
        <v>55</v>
      </c>
      <c r="J581" s="17">
        <f t="shared" si="9"/>
        <v>5004.77423</v>
      </c>
      <c r="K581" s="15" t="s">
        <v>16</v>
      </c>
      <c r="L581" s="13"/>
      <c r="M581" s="13"/>
      <c r="N581" s="14"/>
    </row>
    <row r="582" spans="1:14" x14ac:dyDescent="0.35">
      <c r="A582" s="16">
        <v>19915197402</v>
      </c>
      <c r="B582" s="13" t="s">
        <v>28</v>
      </c>
      <c r="C582" s="12">
        <v>44414</v>
      </c>
      <c r="D582" s="8">
        <v>935.13599999999997</v>
      </c>
      <c r="E582" s="8">
        <v>165.85</v>
      </c>
      <c r="F582" s="13"/>
      <c r="G582" s="13" t="s">
        <v>13</v>
      </c>
      <c r="H582" s="13" t="s">
        <v>29</v>
      </c>
      <c r="I582" s="13" t="s">
        <v>30</v>
      </c>
      <c r="J582" s="17">
        <f t="shared" si="9"/>
        <v>155092.30559999999</v>
      </c>
      <c r="K582" s="15" t="s">
        <v>16</v>
      </c>
      <c r="L582" s="13"/>
      <c r="M582" s="13"/>
      <c r="N582" s="14"/>
    </row>
    <row r="583" spans="1:14" x14ac:dyDescent="0.35">
      <c r="A583" s="16" t="s">
        <v>24</v>
      </c>
      <c r="B583" s="13" t="s">
        <v>25</v>
      </c>
      <c r="C583" s="12">
        <v>44414</v>
      </c>
      <c r="D583" s="8">
        <v>4101.808</v>
      </c>
      <c r="E583" s="8">
        <v>48.805300000000003</v>
      </c>
      <c r="F583" s="13"/>
      <c r="G583" s="13" t="s">
        <v>13</v>
      </c>
      <c r="H583" s="13" t="s">
        <v>14</v>
      </c>
      <c r="I583" s="13" t="s">
        <v>26</v>
      </c>
      <c r="J583" s="17">
        <f t="shared" si="9"/>
        <v>200189.96998240001</v>
      </c>
      <c r="K583" s="15" t="s">
        <v>16</v>
      </c>
      <c r="L583" s="13"/>
      <c r="M583" s="13"/>
      <c r="N583" s="14"/>
    </row>
    <row r="584" spans="1:14" x14ac:dyDescent="0.35">
      <c r="A584" s="16" t="s">
        <v>20</v>
      </c>
      <c r="B584" s="13" t="s">
        <v>21</v>
      </c>
      <c r="C584" s="12">
        <v>44414</v>
      </c>
      <c r="D584" s="8">
        <v>210.96799999999999</v>
      </c>
      <c r="E584" s="8">
        <v>47.445599999999999</v>
      </c>
      <c r="F584" s="13"/>
      <c r="G584" s="13" t="s">
        <v>13</v>
      </c>
      <c r="H584" s="13" t="s">
        <v>22</v>
      </c>
      <c r="I584" s="13" t="s">
        <v>23</v>
      </c>
      <c r="J584" s="17">
        <f t="shared" si="9"/>
        <v>10009.5033408</v>
      </c>
      <c r="K584" s="15" t="s">
        <v>16</v>
      </c>
      <c r="L584" s="13"/>
      <c r="M584" s="13"/>
      <c r="N584" s="14"/>
    </row>
    <row r="585" spans="1:14" x14ac:dyDescent="0.35">
      <c r="A585" s="16" t="s">
        <v>33</v>
      </c>
      <c r="B585" s="13" t="s">
        <v>25</v>
      </c>
      <c r="C585" s="12">
        <v>44414</v>
      </c>
      <c r="D585" s="8">
        <v>512.21400000000006</v>
      </c>
      <c r="E585" s="8">
        <v>48.805300000000003</v>
      </c>
      <c r="F585" s="13"/>
      <c r="G585" s="13" t="s">
        <v>31</v>
      </c>
      <c r="H585" s="13" t="s">
        <v>14</v>
      </c>
      <c r="I585" s="13" t="s">
        <v>26</v>
      </c>
      <c r="J585" s="17">
        <f t="shared" si="9"/>
        <v>24998.757934200003</v>
      </c>
      <c r="K585" s="15" t="s">
        <v>32</v>
      </c>
      <c r="L585" s="13"/>
      <c r="M585" s="13"/>
      <c r="N585" s="14"/>
    </row>
    <row r="586" spans="1:14" x14ac:dyDescent="0.35">
      <c r="A586" s="16" t="s">
        <v>53</v>
      </c>
      <c r="B586" s="13" t="s">
        <v>54</v>
      </c>
      <c r="C586" s="12">
        <v>44417</v>
      </c>
      <c r="D586" s="8">
        <v>655.23299999999995</v>
      </c>
      <c r="E586" s="8">
        <v>61.05</v>
      </c>
      <c r="F586" s="13"/>
      <c r="G586" s="13" t="s">
        <v>38</v>
      </c>
      <c r="H586" s="13" t="s">
        <v>40</v>
      </c>
      <c r="I586" s="13" t="s">
        <v>55</v>
      </c>
      <c r="J586" s="17">
        <f t="shared" si="9"/>
        <v>40001.974649999996</v>
      </c>
      <c r="K586" s="15" t="s">
        <v>16</v>
      </c>
      <c r="L586" s="13"/>
      <c r="M586" s="13"/>
      <c r="N586" s="14"/>
    </row>
    <row r="587" spans="1:14" x14ac:dyDescent="0.35">
      <c r="A587" s="16">
        <v>19915197402</v>
      </c>
      <c r="B587" s="13" t="s">
        <v>28</v>
      </c>
      <c r="C587" s="12">
        <v>44417</v>
      </c>
      <c r="D587" s="8">
        <v>1023.059</v>
      </c>
      <c r="E587" s="8">
        <v>166.16</v>
      </c>
      <c r="F587" s="13"/>
      <c r="G587" s="13" t="s">
        <v>13</v>
      </c>
      <c r="H587" s="13" t="s">
        <v>29</v>
      </c>
      <c r="I587" s="13" t="s">
        <v>30</v>
      </c>
      <c r="J587" s="17">
        <f t="shared" si="9"/>
        <v>169991.48343999998</v>
      </c>
      <c r="K587" s="15" t="s">
        <v>16</v>
      </c>
      <c r="L587" s="13"/>
      <c r="M587" s="13"/>
      <c r="N587" s="14"/>
    </row>
    <row r="588" spans="1:14" x14ac:dyDescent="0.35">
      <c r="A588" s="16" t="s">
        <v>24</v>
      </c>
      <c r="B588" s="13" t="s">
        <v>25</v>
      </c>
      <c r="C588" s="12">
        <v>44417</v>
      </c>
      <c r="D588" s="8">
        <v>6156.9610000000002</v>
      </c>
      <c r="E588" s="8">
        <v>48.722900000000003</v>
      </c>
      <c r="F588" s="13"/>
      <c r="G588" s="13" t="s">
        <v>13</v>
      </c>
      <c r="H588" s="13" t="s">
        <v>14</v>
      </c>
      <c r="I588" s="13" t="s">
        <v>26</v>
      </c>
      <c r="J588" s="17">
        <f t="shared" si="9"/>
        <v>299984.99510690005</v>
      </c>
      <c r="K588" s="15" t="s">
        <v>16</v>
      </c>
      <c r="L588" s="13"/>
      <c r="M588" s="13"/>
      <c r="N588" s="14"/>
    </row>
    <row r="589" spans="1:14" x14ac:dyDescent="0.35">
      <c r="A589" s="16" t="s">
        <v>33</v>
      </c>
      <c r="B589" s="13" t="s">
        <v>25</v>
      </c>
      <c r="C589" s="12">
        <v>44417</v>
      </c>
      <c r="D589" s="8">
        <v>513.18299999999999</v>
      </c>
      <c r="E589" s="8">
        <v>48.722900000000003</v>
      </c>
      <c r="F589" s="13"/>
      <c r="G589" s="13" t="s">
        <v>31</v>
      </c>
      <c r="H589" s="13" t="s">
        <v>14</v>
      </c>
      <c r="I589" s="13" t="s">
        <v>26</v>
      </c>
      <c r="J589" s="17">
        <f t="shared" si="9"/>
        <v>25003.763990700001</v>
      </c>
      <c r="K589" s="15" t="s">
        <v>32</v>
      </c>
      <c r="L589" s="13"/>
      <c r="M589" s="13"/>
      <c r="N589" s="14"/>
    </row>
    <row r="590" spans="1:14" x14ac:dyDescent="0.35">
      <c r="A590" s="16" t="s">
        <v>37</v>
      </c>
      <c r="B590" s="13" t="s">
        <v>25</v>
      </c>
      <c r="C590" s="12">
        <v>44418</v>
      </c>
      <c r="D590" s="8">
        <v>103.206</v>
      </c>
      <c r="E590" s="8">
        <v>48.444200000000002</v>
      </c>
      <c r="F590" s="13"/>
      <c r="G590" s="13" t="s">
        <v>38</v>
      </c>
      <c r="H590" s="13"/>
      <c r="I590" s="13" t="s">
        <v>26</v>
      </c>
      <c r="J590" s="17">
        <f t="shared" si="9"/>
        <v>4999.7321052000007</v>
      </c>
      <c r="K590" s="15" t="s">
        <v>16</v>
      </c>
      <c r="L590" s="13"/>
      <c r="M590" s="13"/>
      <c r="N590" s="14"/>
    </row>
    <row r="591" spans="1:14" x14ac:dyDescent="0.35">
      <c r="A591" s="16" t="s">
        <v>53</v>
      </c>
      <c r="B591" s="13" t="s">
        <v>54</v>
      </c>
      <c r="C591" s="12">
        <v>44419</v>
      </c>
      <c r="D591" s="8">
        <v>49.658000000000001</v>
      </c>
      <c r="E591" s="8">
        <v>60.41</v>
      </c>
      <c r="F591" s="13"/>
      <c r="G591" s="13" t="s">
        <v>38</v>
      </c>
      <c r="H591" s="13" t="s">
        <v>40</v>
      </c>
      <c r="I591" s="13" t="s">
        <v>55</v>
      </c>
      <c r="J591" s="17">
        <f t="shared" si="9"/>
        <v>2999.8397799999998</v>
      </c>
      <c r="K591" s="15" t="s">
        <v>16</v>
      </c>
      <c r="L591" s="13"/>
      <c r="M591" s="13"/>
      <c r="N591" s="14"/>
    </row>
    <row r="592" spans="1:14" x14ac:dyDescent="0.35">
      <c r="A592" s="16">
        <v>79931510915</v>
      </c>
      <c r="B592" s="13" t="s">
        <v>39</v>
      </c>
      <c r="C592" s="12">
        <v>44419</v>
      </c>
      <c r="D592" s="8">
        <v>19.908999999999999</v>
      </c>
      <c r="E592" s="8">
        <v>100.452</v>
      </c>
      <c r="F592" s="13"/>
      <c r="G592" s="13" t="s">
        <v>38</v>
      </c>
      <c r="H592" s="13" t="s">
        <v>40</v>
      </c>
      <c r="I592" s="13" t="s">
        <v>41</v>
      </c>
      <c r="J592" s="17">
        <f t="shared" si="9"/>
        <v>1999.8988679999998</v>
      </c>
      <c r="K592" s="15" t="s">
        <v>16</v>
      </c>
      <c r="L592" s="13"/>
      <c r="M592" s="13"/>
      <c r="N592" s="14"/>
    </row>
    <row r="593" spans="1:14" x14ac:dyDescent="0.35">
      <c r="A593" s="16" t="s">
        <v>11</v>
      </c>
      <c r="B593" s="13" t="s">
        <v>42</v>
      </c>
      <c r="C593" s="12">
        <v>44421</v>
      </c>
      <c r="D593" s="8">
        <v>29.091999999999999</v>
      </c>
      <c r="E593" s="8">
        <v>103.1156</v>
      </c>
      <c r="F593" s="13"/>
      <c r="G593" s="13" t="s">
        <v>13</v>
      </c>
      <c r="H593" s="13" t="s">
        <v>40</v>
      </c>
      <c r="I593" s="13" t="s">
        <v>43</v>
      </c>
      <c r="J593" s="17">
        <f t="shared" si="9"/>
        <v>2999.8390351999997</v>
      </c>
      <c r="K593" s="15" t="s">
        <v>16</v>
      </c>
      <c r="L593" s="13"/>
      <c r="M593" s="13"/>
      <c r="N593" s="14"/>
    </row>
    <row r="594" spans="1:14" x14ac:dyDescent="0.35">
      <c r="A594" s="16" t="s">
        <v>20</v>
      </c>
      <c r="B594" s="13" t="s">
        <v>34</v>
      </c>
      <c r="C594" s="12">
        <v>44421</v>
      </c>
      <c r="D594" s="8">
        <v>7.0220000000000002</v>
      </c>
      <c r="E594" s="8">
        <v>142.40549999999999</v>
      </c>
      <c r="F594" s="13"/>
      <c r="G594" s="13" t="s">
        <v>13</v>
      </c>
      <c r="H594" s="13" t="s">
        <v>35</v>
      </c>
      <c r="I594" s="13" t="s">
        <v>36</v>
      </c>
      <c r="J594" s="17">
        <f t="shared" si="9"/>
        <v>999.97142099999996</v>
      </c>
      <c r="K594" s="15" t="s">
        <v>16</v>
      </c>
      <c r="L594" s="13"/>
      <c r="M594" s="13"/>
      <c r="N594" s="14"/>
    </row>
    <row r="595" spans="1:14" x14ac:dyDescent="0.35">
      <c r="A595" s="16" t="s">
        <v>53</v>
      </c>
      <c r="B595" s="13" t="s">
        <v>54</v>
      </c>
      <c r="C595" s="12">
        <v>44425</v>
      </c>
      <c r="D595" s="8">
        <v>247.10499999999999</v>
      </c>
      <c r="E595" s="8">
        <v>60.7</v>
      </c>
      <c r="F595" s="13"/>
      <c r="G595" s="13" t="s">
        <v>38</v>
      </c>
      <c r="H595" s="13" t="s">
        <v>40</v>
      </c>
      <c r="I595" s="13" t="s">
        <v>55</v>
      </c>
      <c r="J595" s="17">
        <f t="shared" si="9"/>
        <v>14999.273499999999</v>
      </c>
      <c r="K595" s="15" t="s">
        <v>16</v>
      </c>
      <c r="L595" s="13"/>
      <c r="M595" s="13"/>
      <c r="N595" s="14"/>
    </row>
    <row r="596" spans="1:14" x14ac:dyDescent="0.35">
      <c r="A596" s="16" t="s">
        <v>24</v>
      </c>
      <c r="B596" s="13" t="s">
        <v>25</v>
      </c>
      <c r="C596" s="12">
        <v>44425</v>
      </c>
      <c r="D596" s="8">
        <v>2044.34</v>
      </c>
      <c r="E596" s="8">
        <v>48.917999999999999</v>
      </c>
      <c r="F596" s="13"/>
      <c r="G596" s="13" t="s">
        <v>13</v>
      </c>
      <c r="H596" s="13" t="s">
        <v>14</v>
      </c>
      <c r="I596" s="13" t="s">
        <v>26</v>
      </c>
      <c r="J596" s="17">
        <f t="shared" si="9"/>
        <v>100005.02411999999</v>
      </c>
      <c r="K596" s="15" t="s">
        <v>16</v>
      </c>
      <c r="L596" s="13"/>
      <c r="M596" s="13"/>
      <c r="N596" s="14"/>
    </row>
    <row r="597" spans="1:14" x14ac:dyDescent="0.35">
      <c r="A597" s="16" t="s">
        <v>33</v>
      </c>
      <c r="B597" s="13" t="s">
        <v>25</v>
      </c>
      <c r="C597" s="12">
        <v>44425</v>
      </c>
      <c r="D597" s="8">
        <v>511.03399999999999</v>
      </c>
      <c r="E597" s="8">
        <v>48.917999999999999</v>
      </c>
      <c r="F597" s="13"/>
      <c r="G597" s="13" t="s">
        <v>31</v>
      </c>
      <c r="H597" s="13" t="s">
        <v>14</v>
      </c>
      <c r="I597" s="13" t="s">
        <v>26</v>
      </c>
      <c r="J597" s="17">
        <f t="shared" si="9"/>
        <v>24998.761211999998</v>
      </c>
      <c r="K597" s="15" t="s">
        <v>32</v>
      </c>
      <c r="L597" s="13"/>
      <c r="M597" s="13"/>
      <c r="N597" s="14"/>
    </row>
    <row r="598" spans="1:14" x14ac:dyDescent="0.35">
      <c r="A598" s="16" t="s">
        <v>49</v>
      </c>
      <c r="B598" s="13" t="s">
        <v>39</v>
      </c>
      <c r="C598" s="12">
        <v>44426</v>
      </c>
      <c r="D598" s="8">
        <v>25.238</v>
      </c>
      <c r="E598" s="8">
        <v>99.052999999999997</v>
      </c>
      <c r="F598" s="13"/>
      <c r="G598" s="13" t="s">
        <v>31</v>
      </c>
      <c r="H598" s="13" t="s">
        <v>40</v>
      </c>
      <c r="I598" s="13" t="s">
        <v>41</v>
      </c>
      <c r="J598" s="17">
        <f t="shared" si="9"/>
        <v>2499.8996139999999</v>
      </c>
      <c r="K598" s="15" t="s">
        <v>32</v>
      </c>
      <c r="L598" s="13"/>
      <c r="M598" s="13"/>
      <c r="N598" s="14"/>
    </row>
    <row r="599" spans="1:14" x14ac:dyDescent="0.35">
      <c r="A599" s="16" t="s">
        <v>24</v>
      </c>
      <c r="B599" s="13" t="s">
        <v>25</v>
      </c>
      <c r="C599" s="12">
        <v>44428</v>
      </c>
      <c r="D599" s="8">
        <v>517.64400000000001</v>
      </c>
      <c r="E599" s="8">
        <v>48.293300000000002</v>
      </c>
      <c r="F599" s="13"/>
      <c r="G599" s="13" t="s">
        <v>13</v>
      </c>
      <c r="H599" s="13" t="s">
        <v>14</v>
      </c>
      <c r="I599" s="13" t="s">
        <v>26</v>
      </c>
      <c r="J599" s="17">
        <f t="shared" si="9"/>
        <v>24998.736985200001</v>
      </c>
      <c r="K599" s="15" t="s">
        <v>16</v>
      </c>
      <c r="L599" s="13"/>
      <c r="M599" s="13"/>
      <c r="N599" s="14"/>
    </row>
    <row r="600" spans="1:14" x14ac:dyDescent="0.35">
      <c r="A600" s="16" t="s">
        <v>33</v>
      </c>
      <c r="B600" s="13" t="s">
        <v>25</v>
      </c>
      <c r="C600" s="12">
        <v>44428</v>
      </c>
      <c r="D600" s="8">
        <v>207.05799999999999</v>
      </c>
      <c r="E600" s="8">
        <v>48.293300000000002</v>
      </c>
      <c r="F600" s="13"/>
      <c r="G600" s="13" t="s">
        <v>31</v>
      </c>
      <c r="H600" s="13" t="s">
        <v>14</v>
      </c>
      <c r="I600" s="13" t="s">
        <v>26</v>
      </c>
      <c r="J600" s="17">
        <f t="shared" si="9"/>
        <v>9999.5141113999998</v>
      </c>
      <c r="K600" s="15" t="s">
        <v>32</v>
      </c>
      <c r="L600" s="13"/>
      <c r="M600" s="13"/>
      <c r="N600" s="14"/>
    </row>
    <row r="601" spans="1:14" x14ac:dyDescent="0.35">
      <c r="A601" s="16">
        <v>79931510915</v>
      </c>
      <c r="B601" s="13" t="s">
        <v>39</v>
      </c>
      <c r="C601" s="12">
        <v>44430</v>
      </c>
      <c r="D601" s="8">
        <v>30.13</v>
      </c>
      <c r="E601" s="8">
        <v>99.564999999999998</v>
      </c>
      <c r="F601" s="13"/>
      <c r="G601" s="13" t="s">
        <v>38</v>
      </c>
      <c r="H601" s="13" t="s">
        <v>40</v>
      </c>
      <c r="I601" s="13" t="s">
        <v>41</v>
      </c>
      <c r="J601" s="17">
        <f t="shared" si="9"/>
        <v>2999.89345</v>
      </c>
      <c r="K601" s="15" t="s">
        <v>16</v>
      </c>
      <c r="L601" s="13"/>
      <c r="M601" s="13"/>
      <c r="N601" s="14"/>
    </row>
    <row r="602" spans="1:14" x14ac:dyDescent="0.35">
      <c r="A602" s="16" t="s">
        <v>53</v>
      </c>
      <c r="B602" s="13" t="s">
        <v>54</v>
      </c>
      <c r="C602" s="12">
        <v>44433</v>
      </c>
      <c r="D602" s="8">
        <v>532.774</v>
      </c>
      <c r="E602" s="8">
        <v>60.06</v>
      </c>
      <c r="F602" s="13"/>
      <c r="G602" s="13" t="s">
        <v>38</v>
      </c>
      <c r="H602" s="13" t="s">
        <v>40</v>
      </c>
      <c r="I602" s="13" t="s">
        <v>55</v>
      </c>
      <c r="J602" s="17">
        <f t="shared" si="9"/>
        <v>31998.406440000002</v>
      </c>
      <c r="K602" s="15" t="s">
        <v>16</v>
      </c>
      <c r="L602" s="13"/>
      <c r="M602" s="13"/>
      <c r="N602" s="14"/>
    </row>
    <row r="603" spans="1:14" x14ac:dyDescent="0.35">
      <c r="A603" s="16">
        <v>19915197402</v>
      </c>
      <c r="B603" s="13" t="s">
        <v>28</v>
      </c>
      <c r="C603" s="12">
        <v>44433</v>
      </c>
      <c r="D603" s="8">
        <v>299.584</v>
      </c>
      <c r="E603" s="8">
        <v>166.89</v>
      </c>
      <c r="F603" s="13"/>
      <c r="G603" s="13" t="s">
        <v>13</v>
      </c>
      <c r="H603" s="13" t="s">
        <v>29</v>
      </c>
      <c r="I603" s="13" t="s">
        <v>30</v>
      </c>
      <c r="J603" s="17">
        <f t="shared" si="9"/>
        <v>49997.573759999999</v>
      </c>
      <c r="K603" s="15" t="s">
        <v>16</v>
      </c>
      <c r="L603" s="13"/>
      <c r="M603" s="13"/>
      <c r="N603" s="14"/>
    </row>
    <row r="604" spans="1:14" x14ac:dyDescent="0.35">
      <c r="A604" s="16" t="s">
        <v>33</v>
      </c>
      <c r="B604" s="13" t="s">
        <v>25</v>
      </c>
      <c r="C604" s="12">
        <v>44433</v>
      </c>
      <c r="D604" s="8">
        <v>306.75</v>
      </c>
      <c r="E604" s="8">
        <v>48.897300000000001</v>
      </c>
      <c r="F604" s="13"/>
      <c r="G604" s="13" t="s">
        <v>31</v>
      </c>
      <c r="H604" s="13" t="s">
        <v>14</v>
      </c>
      <c r="I604" s="13" t="s">
        <v>26</v>
      </c>
      <c r="J604" s="17">
        <f t="shared" si="9"/>
        <v>14999.246775</v>
      </c>
      <c r="K604" s="15" t="s">
        <v>32</v>
      </c>
      <c r="L604" s="13"/>
      <c r="M604" s="13"/>
      <c r="N604" s="14"/>
    </row>
    <row r="605" spans="1:14" x14ac:dyDescent="0.35">
      <c r="A605" s="16" t="s">
        <v>24</v>
      </c>
      <c r="B605" s="13" t="s">
        <v>25</v>
      </c>
      <c r="C605" s="12">
        <v>44435</v>
      </c>
      <c r="D605" s="8">
        <v>1527.325</v>
      </c>
      <c r="E605" s="8">
        <v>49.103000000000002</v>
      </c>
      <c r="F605" s="13"/>
      <c r="G605" s="13" t="s">
        <v>13</v>
      </c>
      <c r="H605" s="13" t="s">
        <v>14</v>
      </c>
      <c r="I605" s="13" t="s">
        <v>26</v>
      </c>
      <c r="J605" s="17">
        <f t="shared" si="9"/>
        <v>74996.239475000009</v>
      </c>
      <c r="K605" s="15" t="s">
        <v>16</v>
      </c>
      <c r="L605" s="13"/>
      <c r="M605" s="13"/>
      <c r="N605" s="14"/>
    </row>
    <row r="606" spans="1:14" x14ac:dyDescent="0.35">
      <c r="A606" s="16" t="s">
        <v>27</v>
      </c>
      <c r="B606" s="13" t="s">
        <v>56</v>
      </c>
      <c r="C606" s="12">
        <v>44442</v>
      </c>
      <c r="D606" s="8">
        <v>99.995000000000005</v>
      </c>
      <c r="E606" s="8">
        <v>10</v>
      </c>
      <c r="F606" s="13"/>
      <c r="G606" s="13" t="s">
        <v>13</v>
      </c>
      <c r="H606" s="13" t="s">
        <v>40</v>
      </c>
      <c r="I606" s="13" t="s">
        <v>57</v>
      </c>
      <c r="J606" s="17">
        <f t="shared" si="9"/>
        <v>999.95</v>
      </c>
      <c r="K606" s="15" t="s">
        <v>16</v>
      </c>
      <c r="L606" s="13"/>
      <c r="M606" s="13"/>
      <c r="N606" s="14"/>
    </row>
    <row r="607" spans="1:14" x14ac:dyDescent="0.35">
      <c r="A607" s="16" t="s">
        <v>27</v>
      </c>
      <c r="B607" s="13" t="s">
        <v>56</v>
      </c>
      <c r="C607" s="12">
        <v>44450</v>
      </c>
      <c r="D607" s="8">
        <v>99.894999999999996</v>
      </c>
      <c r="E607" s="8">
        <v>10.01</v>
      </c>
      <c r="F607" s="13"/>
      <c r="G607" s="13" t="s">
        <v>13</v>
      </c>
      <c r="H607" s="13" t="s">
        <v>40</v>
      </c>
      <c r="I607" s="13" t="s">
        <v>57</v>
      </c>
      <c r="J607" s="17">
        <f t="shared" si="9"/>
        <v>999.94894999999997</v>
      </c>
      <c r="K607" s="15" t="s">
        <v>16</v>
      </c>
      <c r="L607" s="13"/>
      <c r="M607" s="13"/>
      <c r="N607" s="14"/>
    </row>
    <row r="608" spans="1:14" x14ac:dyDescent="0.35">
      <c r="A608" s="16" t="s">
        <v>53</v>
      </c>
      <c r="B608" s="13" t="s">
        <v>54</v>
      </c>
      <c r="C608" s="12">
        <v>44452</v>
      </c>
      <c r="D608" s="8">
        <v>45.981999999999999</v>
      </c>
      <c r="E608" s="8">
        <v>65.239999999999995</v>
      </c>
      <c r="F608" s="13"/>
      <c r="G608" s="13" t="s">
        <v>38</v>
      </c>
      <c r="H608" s="13" t="s">
        <v>40</v>
      </c>
      <c r="I608" s="13" t="s">
        <v>55</v>
      </c>
      <c r="J608" s="17">
        <f t="shared" si="9"/>
        <v>2999.8656799999999</v>
      </c>
      <c r="K608" s="15" t="s">
        <v>16</v>
      </c>
      <c r="L608" s="13"/>
      <c r="M608" s="13"/>
      <c r="N608" s="14"/>
    </row>
    <row r="609" spans="1:14" x14ac:dyDescent="0.35">
      <c r="A609" s="16">
        <v>79931510915</v>
      </c>
      <c r="B609" s="13" t="s">
        <v>39</v>
      </c>
      <c r="C609" s="12">
        <v>44452</v>
      </c>
      <c r="D609" s="8">
        <v>18.795000000000002</v>
      </c>
      <c r="E609" s="8">
        <v>106.405</v>
      </c>
      <c r="F609" s="13"/>
      <c r="G609" s="13" t="s">
        <v>38</v>
      </c>
      <c r="H609" s="13" t="s">
        <v>40</v>
      </c>
      <c r="I609" s="13" t="s">
        <v>41</v>
      </c>
      <c r="J609" s="17">
        <f t="shared" si="9"/>
        <v>1999.8819750000002</v>
      </c>
      <c r="K609" s="15" t="s">
        <v>16</v>
      </c>
      <c r="L609" s="13"/>
      <c r="M609" s="13"/>
      <c r="N609" s="14"/>
    </row>
    <row r="610" spans="1:14" x14ac:dyDescent="0.35">
      <c r="A610" s="16" t="s">
        <v>37</v>
      </c>
      <c r="B610" s="13" t="s">
        <v>25</v>
      </c>
      <c r="C610" s="12">
        <v>44453</v>
      </c>
      <c r="D610" s="8">
        <v>96.450999999999993</v>
      </c>
      <c r="E610" s="8">
        <v>51.837400000000002</v>
      </c>
      <c r="F610" s="13"/>
      <c r="G610" s="13" t="s">
        <v>38</v>
      </c>
      <c r="H610" s="13"/>
      <c r="I610" s="13" t="s">
        <v>26</v>
      </c>
      <c r="J610" s="17">
        <f t="shared" si="9"/>
        <v>4999.7690673999996</v>
      </c>
      <c r="K610" s="15" t="s">
        <v>16</v>
      </c>
      <c r="L610" s="13"/>
      <c r="M610" s="13"/>
      <c r="N610" s="14"/>
    </row>
    <row r="611" spans="1:14" x14ac:dyDescent="0.35">
      <c r="A611" s="16" t="s">
        <v>20</v>
      </c>
      <c r="B611" s="13" t="s">
        <v>34</v>
      </c>
      <c r="C611" s="12">
        <v>44453</v>
      </c>
      <c r="D611" s="8">
        <v>6.6879999999999997</v>
      </c>
      <c r="E611" s="8">
        <v>149.5164</v>
      </c>
      <c r="F611" s="13"/>
      <c r="G611" s="13" t="s">
        <v>13</v>
      </c>
      <c r="H611" s="13" t="s">
        <v>35</v>
      </c>
      <c r="I611" s="13" t="s">
        <v>36</v>
      </c>
      <c r="J611" s="17">
        <f t="shared" si="9"/>
        <v>999.96568319999994</v>
      </c>
      <c r="K611" s="15" t="s">
        <v>16</v>
      </c>
      <c r="L611" s="13"/>
      <c r="M611" s="13"/>
      <c r="N611" s="14"/>
    </row>
    <row r="612" spans="1:14" x14ac:dyDescent="0.35">
      <c r="A612" s="16" t="s">
        <v>49</v>
      </c>
      <c r="B612" s="13" t="s">
        <v>39</v>
      </c>
      <c r="C612" s="12">
        <v>44459</v>
      </c>
      <c r="D612" s="8">
        <v>23.817</v>
      </c>
      <c r="E612" s="8">
        <v>104.962</v>
      </c>
      <c r="F612" s="13"/>
      <c r="G612" s="13" t="s">
        <v>31</v>
      </c>
      <c r="H612" s="13" t="s">
        <v>40</v>
      </c>
      <c r="I612" s="13" t="s">
        <v>41</v>
      </c>
      <c r="J612" s="17">
        <f t="shared" si="9"/>
        <v>2499.879954</v>
      </c>
      <c r="K612" s="15" t="s">
        <v>32</v>
      </c>
      <c r="L612" s="13"/>
      <c r="M612" s="13"/>
      <c r="N612" s="14"/>
    </row>
    <row r="613" spans="1:14" x14ac:dyDescent="0.35">
      <c r="A613" s="16">
        <v>79931510915</v>
      </c>
      <c r="B613" s="13" t="s">
        <v>39</v>
      </c>
      <c r="C613" s="12">
        <v>44461</v>
      </c>
      <c r="D613" s="8">
        <v>28.193000000000001</v>
      </c>
      <c r="E613" s="8">
        <v>106.405</v>
      </c>
      <c r="F613" s="13"/>
      <c r="G613" s="13" t="s">
        <v>38</v>
      </c>
      <c r="H613" s="13" t="s">
        <v>40</v>
      </c>
      <c r="I613" s="13" t="s">
        <v>41</v>
      </c>
      <c r="J613" s="17">
        <f t="shared" si="9"/>
        <v>2999.8761650000001</v>
      </c>
      <c r="K613" s="15" t="s">
        <v>16</v>
      </c>
      <c r="L613" s="13"/>
      <c r="M613" s="13"/>
      <c r="N613" s="14"/>
    </row>
    <row r="614" spans="1:14" x14ac:dyDescent="0.35">
      <c r="A614" s="16">
        <v>19915197402</v>
      </c>
      <c r="B614" s="13" t="s">
        <v>28</v>
      </c>
      <c r="C614" s="12">
        <v>44466</v>
      </c>
      <c r="D614" s="8">
        <v>277.93099999999998</v>
      </c>
      <c r="E614" s="8">
        <v>179.91</v>
      </c>
      <c r="F614" s="13"/>
      <c r="G614" s="13" t="s">
        <v>13</v>
      </c>
      <c r="H614" s="13" t="s">
        <v>29</v>
      </c>
      <c r="I614" s="13" t="s">
        <v>30</v>
      </c>
      <c r="J614" s="17">
        <f t="shared" si="9"/>
        <v>50002.566209999997</v>
      </c>
      <c r="K614" s="15" t="s">
        <v>16</v>
      </c>
      <c r="L614" s="13"/>
      <c r="M614" s="13"/>
      <c r="N614" s="14"/>
    </row>
    <row r="615" spans="1:14" x14ac:dyDescent="0.35">
      <c r="A615" s="16" t="s">
        <v>27</v>
      </c>
      <c r="B615" s="13" t="s">
        <v>56</v>
      </c>
      <c r="C615" s="12">
        <v>44466</v>
      </c>
      <c r="D615" s="8">
        <v>295.84699999999998</v>
      </c>
      <c r="E615" s="8">
        <v>10.15</v>
      </c>
      <c r="F615" s="13" t="s">
        <v>58</v>
      </c>
      <c r="G615" s="13" t="s">
        <v>13</v>
      </c>
      <c r="H615" s="13" t="s">
        <v>40</v>
      </c>
      <c r="I615" s="13" t="s">
        <v>57</v>
      </c>
      <c r="J615" s="17">
        <f t="shared" si="9"/>
        <v>3002.8470499999999</v>
      </c>
      <c r="K615" s="15" t="s">
        <v>16</v>
      </c>
      <c r="L615" s="13"/>
      <c r="M615" s="13"/>
      <c r="N615" s="14"/>
    </row>
    <row r="616" spans="1:14" x14ac:dyDescent="0.35">
      <c r="A616" s="16" t="s">
        <v>24</v>
      </c>
      <c r="B616" s="13" t="s">
        <v>25</v>
      </c>
      <c r="C616" s="12">
        <v>44466</v>
      </c>
      <c r="D616" s="8">
        <v>1504.5160000000001</v>
      </c>
      <c r="E616" s="8">
        <v>53.175899999999999</v>
      </c>
      <c r="F616" s="13"/>
      <c r="G616" s="13" t="s">
        <v>13</v>
      </c>
      <c r="H616" s="13" t="s">
        <v>14</v>
      </c>
      <c r="I616" s="13" t="s">
        <v>26</v>
      </c>
      <c r="J616" s="17">
        <f t="shared" si="9"/>
        <v>80003.992364400008</v>
      </c>
      <c r="K616" s="15" t="s">
        <v>16</v>
      </c>
      <c r="L616" s="13"/>
      <c r="M616" s="13"/>
      <c r="N616" s="14"/>
    </row>
    <row r="617" spans="1:14" x14ac:dyDescent="0.35">
      <c r="A617" s="16" t="s">
        <v>11</v>
      </c>
      <c r="B617" s="13" t="s">
        <v>42</v>
      </c>
      <c r="C617" s="12">
        <v>44466</v>
      </c>
      <c r="D617" s="8">
        <v>27.443000000000001</v>
      </c>
      <c r="E617" s="8">
        <v>109.313</v>
      </c>
      <c r="F617" s="13"/>
      <c r="G617" s="13" t="s">
        <v>13</v>
      </c>
      <c r="H617" s="13" t="s">
        <v>40</v>
      </c>
      <c r="I617" s="13" t="s">
        <v>43</v>
      </c>
      <c r="J617" s="17">
        <f t="shared" si="9"/>
        <v>2999.876659</v>
      </c>
      <c r="K617" s="15" t="s">
        <v>16</v>
      </c>
      <c r="L617" s="13"/>
      <c r="M617" s="13"/>
      <c r="N617" s="14"/>
    </row>
    <row r="618" spans="1:14" x14ac:dyDescent="0.35">
      <c r="A618" s="16" t="s">
        <v>53</v>
      </c>
      <c r="B618" s="13" t="s">
        <v>54</v>
      </c>
      <c r="C618" s="12">
        <v>44467</v>
      </c>
      <c r="D618" s="8">
        <v>734.68299999999999</v>
      </c>
      <c r="E618" s="8">
        <v>63.97</v>
      </c>
      <c r="F618" s="13"/>
      <c r="G618" s="13" t="s">
        <v>38</v>
      </c>
      <c r="H618" s="13" t="s">
        <v>40</v>
      </c>
      <c r="I618" s="13" t="s">
        <v>55</v>
      </c>
      <c r="J618" s="17">
        <f t="shared" si="9"/>
        <v>46997.67151</v>
      </c>
      <c r="K618" s="15" t="s">
        <v>16</v>
      </c>
      <c r="L618" s="13"/>
      <c r="M618" s="13"/>
      <c r="N618" s="14"/>
    </row>
    <row r="619" spans="1:14" x14ac:dyDescent="0.35">
      <c r="A619" s="16">
        <v>19915197402</v>
      </c>
      <c r="B619" s="13" t="s">
        <v>28</v>
      </c>
      <c r="C619" s="12">
        <v>44467</v>
      </c>
      <c r="D619" s="8">
        <v>280.71100000000001</v>
      </c>
      <c r="E619" s="8">
        <v>178.11</v>
      </c>
      <c r="F619" s="13"/>
      <c r="G619" s="13" t="s">
        <v>13</v>
      </c>
      <c r="H619" s="13" t="s">
        <v>29</v>
      </c>
      <c r="I619" s="13" t="s">
        <v>30</v>
      </c>
      <c r="J619" s="17">
        <f t="shared" si="9"/>
        <v>49997.436210000007</v>
      </c>
      <c r="K619" s="15" t="s">
        <v>16</v>
      </c>
      <c r="L619" s="13"/>
      <c r="M619" s="13"/>
      <c r="N619" s="14"/>
    </row>
    <row r="620" spans="1:14" x14ac:dyDescent="0.35">
      <c r="A620" s="16" t="s">
        <v>27</v>
      </c>
      <c r="B620" s="13" t="s">
        <v>56</v>
      </c>
      <c r="C620" s="12">
        <v>44467</v>
      </c>
      <c r="D620" s="8">
        <v>495.03</v>
      </c>
      <c r="E620" s="8">
        <v>10.11</v>
      </c>
      <c r="F620" s="13" t="s">
        <v>58</v>
      </c>
      <c r="G620" s="13" t="s">
        <v>13</v>
      </c>
      <c r="H620" s="13" t="s">
        <v>40</v>
      </c>
      <c r="I620" s="13" t="s">
        <v>57</v>
      </c>
      <c r="J620" s="17">
        <f t="shared" si="9"/>
        <v>5004.7532999999994</v>
      </c>
      <c r="K620" s="15" t="s">
        <v>16</v>
      </c>
      <c r="L620" s="13"/>
      <c r="M620" s="13"/>
      <c r="N620" s="14"/>
    </row>
    <row r="621" spans="1:14" x14ac:dyDescent="0.35">
      <c r="A621" s="16" t="s">
        <v>24</v>
      </c>
      <c r="B621" s="13" t="s">
        <v>25</v>
      </c>
      <c r="C621" s="12">
        <v>44467</v>
      </c>
      <c r="D621" s="8">
        <v>379.12700000000001</v>
      </c>
      <c r="E621" s="8">
        <v>52.7502</v>
      </c>
      <c r="F621" s="13"/>
      <c r="G621" s="13" t="s">
        <v>13</v>
      </c>
      <c r="H621" s="13" t="s">
        <v>14</v>
      </c>
      <c r="I621" s="13" t="s">
        <v>26</v>
      </c>
      <c r="J621" s="17">
        <f t="shared" si="9"/>
        <v>19999.025075400001</v>
      </c>
      <c r="K621" s="15" t="s">
        <v>16</v>
      </c>
      <c r="L621" s="13"/>
      <c r="M621" s="13"/>
      <c r="N621" s="14"/>
    </row>
    <row r="622" spans="1:14" x14ac:dyDescent="0.35">
      <c r="A622" s="16" t="s">
        <v>37</v>
      </c>
      <c r="B622" s="13" t="s">
        <v>25</v>
      </c>
      <c r="C622" s="12">
        <v>44467</v>
      </c>
      <c r="D622" s="8">
        <v>947.91099999999994</v>
      </c>
      <c r="E622" s="8">
        <v>52.7502</v>
      </c>
      <c r="F622" s="13"/>
      <c r="G622" s="13" t="s">
        <v>38</v>
      </c>
      <c r="H622" s="13"/>
      <c r="I622" s="13" t="s">
        <v>26</v>
      </c>
      <c r="J622" s="17">
        <f t="shared" si="9"/>
        <v>50002.494832199998</v>
      </c>
      <c r="K622" s="15" t="s">
        <v>16</v>
      </c>
      <c r="L622" s="13"/>
      <c r="M622" s="13"/>
      <c r="N622" s="14"/>
    </row>
    <row r="623" spans="1:14" x14ac:dyDescent="0.35">
      <c r="A623" s="16" t="s">
        <v>20</v>
      </c>
      <c r="B623" s="13" t="s">
        <v>34</v>
      </c>
      <c r="C623" s="12">
        <v>44467</v>
      </c>
      <c r="D623" s="8">
        <v>13.061</v>
      </c>
      <c r="E623" s="8">
        <v>153.11799999999999</v>
      </c>
      <c r="F623" s="13"/>
      <c r="G623" s="13" t="s">
        <v>13</v>
      </c>
      <c r="H623" s="13" t="s">
        <v>35</v>
      </c>
      <c r="I623" s="13" t="s">
        <v>36</v>
      </c>
      <c r="J623" s="17">
        <f t="shared" si="9"/>
        <v>1999.874198</v>
      </c>
      <c r="K623" s="15" t="s">
        <v>16</v>
      </c>
      <c r="L623" s="13"/>
      <c r="M623" s="13"/>
      <c r="N623" s="14"/>
    </row>
    <row r="624" spans="1:14" x14ac:dyDescent="0.35">
      <c r="A624" s="16" t="s">
        <v>53</v>
      </c>
      <c r="B624" s="13" t="s">
        <v>54</v>
      </c>
      <c r="C624" s="12">
        <v>44469</v>
      </c>
      <c r="D624" s="8">
        <v>776.84100000000001</v>
      </c>
      <c r="E624" s="8">
        <v>64.36</v>
      </c>
      <c r="F624" s="13"/>
      <c r="G624" s="13" t="s">
        <v>38</v>
      </c>
      <c r="H624" s="13" t="s">
        <v>40</v>
      </c>
      <c r="I624" s="13" t="s">
        <v>55</v>
      </c>
      <c r="J624" s="17">
        <f t="shared" si="9"/>
        <v>49997.48676</v>
      </c>
      <c r="K624" s="15" t="s">
        <v>16</v>
      </c>
      <c r="L624" s="13"/>
      <c r="M624" s="13"/>
      <c r="N624" s="14"/>
    </row>
    <row r="625" spans="1:14" x14ac:dyDescent="0.35">
      <c r="A625" s="16" t="s">
        <v>37</v>
      </c>
      <c r="B625" s="13" t="s">
        <v>25</v>
      </c>
      <c r="C625" s="12">
        <v>44469</v>
      </c>
      <c r="D625" s="8">
        <v>1911.8009999999999</v>
      </c>
      <c r="E625" s="8">
        <v>52.356400000000001</v>
      </c>
      <c r="F625" s="13"/>
      <c r="G625" s="13" t="s">
        <v>38</v>
      </c>
      <c r="H625" s="13"/>
      <c r="I625" s="13" t="s">
        <v>26</v>
      </c>
      <c r="J625" s="17">
        <f t="shared" si="9"/>
        <v>100095.0178764</v>
      </c>
      <c r="K625" s="15" t="s">
        <v>16</v>
      </c>
      <c r="L625" s="13"/>
      <c r="M625" s="13"/>
      <c r="N625" s="14"/>
    </row>
    <row r="626" spans="1:14" x14ac:dyDescent="0.35">
      <c r="A626" s="16" t="s">
        <v>53</v>
      </c>
      <c r="B626" s="13" t="s">
        <v>54</v>
      </c>
      <c r="C626" s="12">
        <v>44480</v>
      </c>
      <c r="D626" s="8">
        <v>44.356999999999999</v>
      </c>
      <c r="E626" s="8">
        <v>67.63</v>
      </c>
      <c r="F626" s="13"/>
      <c r="G626" s="13" t="s">
        <v>38</v>
      </c>
      <c r="H626" s="13" t="s">
        <v>40</v>
      </c>
      <c r="I626" s="13" t="s">
        <v>55</v>
      </c>
      <c r="J626" s="17">
        <f t="shared" si="9"/>
        <v>2999.8639099999996</v>
      </c>
      <c r="K626" s="15" t="s">
        <v>16</v>
      </c>
      <c r="L626" s="13"/>
      <c r="M626" s="13"/>
      <c r="N626" s="14"/>
    </row>
    <row r="627" spans="1:14" x14ac:dyDescent="0.35">
      <c r="A627" s="16" t="s">
        <v>27</v>
      </c>
      <c r="B627" s="13" t="s">
        <v>56</v>
      </c>
      <c r="C627" s="12">
        <v>44480</v>
      </c>
      <c r="D627" s="8">
        <v>93.54</v>
      </c>
      <c r="E627" s="8">
        <v>10.69</v>
      </c>
      <c r="F627" s="13"/>
      <c r="G627" s="13" t="s">
        <v>13</v>
      </c>
      <c r="H627" s="13" t="s">
        <v>40</v>
      </c>
      <c r="I627" s="13" t="s">
        <v>57</v>
      </c>
      <c r="J627" s="17">
        <f t="shared" si="9"/>
        <v>999.94259999999997</v>
      </c>
      <c r="K627" s="15" t="s">
        <v>16</v>
      </c>
      <c r="L627" s="13"/>
      <c r="M627" s="13"/>
      <c r="N627" s="14"/>
    </row>
    <row r="628" spans="1:14" x14ac:dyDescent="0.35">
      <c r="A628" s="16">
        <v>79931510915</v>
      </c>
      <c r="B628" s="13" t="s">
        <v>39</v>
      </c>
      <c r="C628" s="12">
        <v>44480</v>
      </c>
      <c r="D628" s="8">
        <v>18.102</v>
      </c>
      <c r="E628" s="8">
        <v>110.48</v>
      </c>
      <c r="F628" s="13"/>
      <c r="G628" s="13" t="s">
        <v>38</v>
      </c>
      <c r="H628" s="13" t="s">
        <v>40</v>
      </c>
      <c r="I628" s="13" t="s">
        <v>41</v>
      </c>
      <c r="J628" s="17">
        <f t="shared" si="9"/>
        <v>1999.9089600000002</v>
      </c>
      <c r="K628" s="15" t="s">
        <v>16</v>
      </c>
      <c r="L628" s="13"/>
      <c r="M628" s="13"/>
      <c r="N628" s="14"/>
    </row>
    <row r="629" spans="1:14" x14ac:dyDescent="0.35">
      <c r="A629" s="16" t="s">
        <v>37</v>
      </c>
      <c r="B629" s="13" t="s">
        <v>25</v>
      </c>
      <c r="C629" s="12">
        <v>44481</v>
      </c>
      <c r="D629" s="8">
        <v>92.62</v>
      </c>
      <c r="E629" s="8">
        <v>53.9816</v>
      </c>
      <c r="F629" s="13"/>
      <c r="G629" s="13" t="s">
        <v>38</v>
      </c>
      <c r="H629" s="13"/>
      <c r="I629" s="13" t="s">
        <v>26</v>
      </c>
      <c r="J629" s="17">
        <f t="shared" si="9"/>
        <v>4999.7757920000004</v>
      </c>
      <c r="K629" s="15" t="s">
        <v>16</v>
      </c>
      <c r="L629" s="13"/>
      <c r="M629" s="13"/>
      <c r="N629" s="14"/>
    </row>
    <row r="630" spans="1:14" x14ac:dyDescent="0.35">
      <c r="A630" s="16" t="s">
        <v>20</v>
      </c>
      <c r="B630" s="13" t="s">
        <v>34</v>
      </c>
      <c r="C630" s="12">
        <v>44483</v>
      </c>
      <c r="D630" s="8">
        <v>6.3579999999999997</v>
      </c>
      <c r="E630" s="8">
        <v>157.26499999999999</v>
      </c>
      <c r="F630" s="13"/>
      <c r="G630" s="13" t="s">
        <v>13</v>
      </c>
      <c r="H630" s="13" t="s">
        <v>35</v>
      </c>
      <c r="I630" s="13" t="s">
        <v>36</v>
      </c>
      <c r="J630" s="17">
        <f t="shared" si="9"/>
        <v>999.89086999999984</v>
      </c>
      <c r="K630" s="15" t="s">
        <v>16</v>
      </c>
      <c r="L630" s="13"/>
      <c r="M630" s="13"/>
      <c r="N630" s="14"/>
    </row>
    <row r="631" spans="1:14" x14ac:dyDescent="0.35">
      <c r="A631" s="16" t="s">
        <v>53</v>
      </c>
      <c r="B631" s="13" t="s">
        <v>54</v>
      </c>
      <c r="C631" s="12">
        <v>44489</v>
      </c>
      <c r="D631" s="8">
        <v>407.63200000000001</v>
      </c>
      <c r="E631" s="8">
        <v>66.25</v>
      </c>
      <c r="F631" s="13"/>
      <c r="G631" s="13" t="s">
        <v>38</v>
      </c>
      <c r="H631" s="13" t="s">
        <v>40</v>
      </c>
      <c r="I631" s="13" t="s">
        <v>55</v>
      </c>
      <c r="J631" s="17">
        <f t="shared" si="9"/>
        <v>27005.62</v>
      </c>
      <c r="K631" s="15" t="s">
        <v>16</v>
      </c>
      <c r="L631" s="13"/>
      <c r="M631" s="13"/>
      <c r="N631" s="14"/>
    </row>
    <row r="632" spans="1:14" x14ac:dyDescent="0.35">
      <c r="A632" s="16" t="s">
        <v>27</v>
      </c>
      <c r="B632" s="13" t="s">
        <v>56</v>
      </c>
      <c r="C632" s="12">
        <v>44489</v>
      </c>
      <c r="D632" s="8">
        <v>378.78899999999999</v>
      </c>
      <c r="E632" s="8">
        <v>10.57</v>
      </c>
      <c r="F632" s="13" t="s">
        <v>58</v>
      </c>
      <c r="G632" s="13" t="s">
        <v>13</v>
      </c>
      <c r="H632" s="13" t="s">
        <v>40</v>
      </c>
      <c r="I632" s="13" t="s">
        <v>57</v>
      </c>
      <c r="J632" s="17">
        <f t="shared" si="9"/>
        <v>4003.7997300000002</v>
      </c>
      <c r="K632" s="15" t="s">
        <v>16</v>
      </c>
      <c r="L632" s="13"/>
      <c r="M632" s="13"/>
      <c r="N632" s="14"/>
    </row>
    <row r="633" spans="1:14" x14ac:dyDescent="0.35">
      <c r="A633" s="16" t="s">
        <v>37</v>
      </c>
      <c r="B633" s="13" t="s">
        <v>25</v>
      </c>
      <c r="C633" s="12">
        <v>44489</v>
      </c>
      <c r="D633" s="8">
        <v>1732.924</v>
      </c>
      <c r="E633" s="8">
        <v>54.875599999999999</v>
      </c>
      <c r="F633" s="13"/>
      <c r="G633" s="13" t="s">
        <v>38</v>
      </c>
      <c r="H633" s="13"/>
      <c r="I633" s="13" t="s">
        <v>26</v>
      </c>
      <c r="J633" s="17">
        <f t="shared" si="9"/>
        <v>95095.244254399993</v>
      </c>
      <c r="K633" s="15" t="s">
        <v>16</v>
      </c>
      <c r="L633" s="13"/>
      <c r="M633" s="13"/>
      <c r="N633" s="14"/>
    </row>
    <row r="634" spans="1:14" x14ac:dyDescent="0.35">
      <c r="A634" s="16" t="s">
        <v>49</v>
      </c>
      <c r="B634" s="13" t="s">
        <v>39</v>
      </c>
      <c r="C634" s="12">
        <v>44489</v>
      </c>
      <c r="D634" s="8">
        <v>22.827000000000002</v>
      </c>
      <c r="E634" s="8">
        <v>109.514</v>
      </c>
      <c r="F634" s="13"/>
      <c r="G634" s="13" t="s">
        <v>31</v>
      </c>
      <c r="H634" s="13" t="s">
        <v>40</v>
      </c>
      <c r="I634" s="13" t="s">
        <v>41</v>
      </c>
      <c r="J634" s="17">
        <f t="shared" si="9"/>
        <v>2499.8760780000002</v>
      </c>
      <c r="K634" s="15" t="s">
        <v>32</v>
      </c>
      <c r="L634" s="13"/>
      <c r="M634" s="13"/>
      <c r="N634" s="14"/>
    </row>
    <row r="635" spans="1:14" x14ac:dyDescent="0.35">
      <c r="A635" s="16" t="s">
        <v>53</v>
      </c>
      <c r="B635" s="13" t="s">
        <v>54</v>
      </c>
      <c r="C635" s="12">
        <v>44490</v>
      </c>
      <c r="D635" s="8">
        <v>457.57299999999998</v>
      </c>
      <c r="E635" s="8">
        <v>65.56</v>
      </c>
      <c r="F635" s="13"/>
      <c r="G635" s="13" t="s">
        <v>38</v>
      </c>
      <c r="H635" s="13" t="s">
        <v>40</v>
      </c>
      <c r="I635" s="13" t="s">
        <v>55</v>
      </c>
      <c r="J635" s="17">
        <f t="shared" si="9"/>
        <v>29998.48588</v>
      </c>
      <c r="K635" s="15" t="s">
        <v>16</v>
      </c>
      <c r="L635" s="13"/>
      <c r="M635" s="13"/>
      <c r="N635" s="14"/>
    </row>
    <row r="636" spans="1:14" x14ac:dyDescent="0.35">
      <c r="A636" s="16" t="s">
        <v>37</v>
      </c>
      <c r="B636" s="13" t="s">
        <v>25</v>
      </c>
      <c r="C636" s="12">
        <v>44490</v>
      </c>
      <c r="D636" s="8">
        <v>1842.702</v>
      </c>
      <c r="E636" s="8">
        <v>54.319699999999997</v>
      </c>
      <c r="F636" s="13"/>
      <c r="G636" s="13" t="s">
        <v>38</v>
      </c>
      <c r="H636" s="13"/>
      <c r="I636" s="13" t="s">
        <v>26</v>
      </c>
      <c r="J636" s="17">
        <f t="shared" si="9"/>
        <v>100095.0198294</v>
      </c>
      <c r="K636" s="15" t="s">
        <v>16</v>
      </c>
      <c r="L636" s="13"/>
      <c r="M636" s="13"/>
      <c r="N636" s="14"/>
    </row>
    <row r="637" spans="1:14" x14ac:dyDescent="0.35">
      <c r="A637" s="16">
        <v>79931510915</v>
      </c>
      <c r="B637" s="13" t="s">
        <v>39</v>
      </c>
      <c r="C637" s="12">
        <v>44491</v>
      </c>
      <c r="D637" s="8">
        <v>27.71</v>
      </c>
      <c r="E637" s="8">
        <v>108.25700000000001</v>
      </c>
      <c r="F637" s="13"/>
      <c r="G637" s="13" t="s">
        <v>38</v>
      </c>
      <c r="H637" s="13" t="s">
        <v>40</v>
      </c>
      <c r="I637" s="13" t="s">
        <v>41</v>
      </c>
      <c r="J637" s="17">
        <f t="shared" si="9"/>
        <v>2999.8014700000003</v>
      </c>
      <c r="K637" s="15" t="s">
        <v>16</v>
      </c>
      <c r="L637" s="13"/>
      <c r="M637" s="13"/>
      <c r="N637" s="14"/>
    </row>
    <row r="638" spans="1:14" x14ac:dyDescent="0.35">
      <c r="A638" s="16" t="s">
        <v>37</v>
      </c>
      <c r="B638" s="13" t="s">
        <v>25</v>
      </c>
      <c r="C638" s="12">
        <v>44497</v>
      </c>
      <c r="D638" s="8">
        <v>471.19400000000002</v>
      </c>
      <c r="E638" s="8">
        <v>53.064700000000002</v>
      </c>
      <c r="F638" s="13"/>
      <c r="G638" s="13" t="s">
        <v>38</v>
      </c>
      <c r="H638" s="13"/>
      <c r="I638" s="13" t="s">
        <v>26</v>
      </c>
      <c r="J638" s="17">
        <f t="shared" si="9"/>
        <v>25003.7682518</v>
      </c>
      <c r="K638" s="15" t="s">
        <v>16</v>
      </c>
      <c r="L638" s="13"/>
      <c r="M638" s="13"/>
      <c r="N638" s="14"/>
    </row>
    <row r="639" spans="1:14" x14ac:dyDescent="0.35">
      <c r="A639" s="16" t="s">
        <v>53</v>
      </c>
      <c r="B639" s="13" t="s">
        <v>54</v>
      </c>
      <c r="C639" s="12">
        <v>44498</v>
      </c>
      <c r="D639" s="8">
        <v>309.10399999999998</v>
      </c>
      <c r="E639" s="8">
        <v>64.7</v>
      </c>
      <c r="F639" s="13"/>
      <c r="G639" s="13" t="s">
        <v>38</v>
      </c>
      <c r="H639" s="13" t="s">
        <v>40</v>
      </c>
      <c r="I639" s="13" t="s">
        <v>55</v>
      </c>
      <c r="J639" s="17">
        <f t="shared" si="9"/>
        <v>19999.0288</v>
      </c>
      <c r="K639" s="15" t="s">
        <v>16</v>
      </c>
      <c r="L639" s="13"/>
      <c r="M639" s="13"/>
      <c r="N639" s="14"/>
    </row>
    <row r="640" spans="1:14" x14ac:dyDescent="0.35">
      <c r="A640" s="16" t="s">
        <v>37</v>
      </c>
      <c r="B640" s="13" t="s">
        <v>25</v>
      </c>
      <c r="C640" s="12">
        <v>44498</v>
      </c>
      <c r="D640" s="8">
        <v>282.33300000000003</v>
      </c>
      <c r="E640" s="8">
        <v>53.143799999999999</v>
      </c>
      <c r="F640" s="13"/>
      <c r="G640" s="13" t="s">
        <v>38</v>
      </c>
      <c r="H640" s="13"/>
      <c r="I640" s="13" t="s">
        <v>26</v>
      </c>
      <c r="J640" s="17">
        <f t="shared" si="9"/>
        <v>15004.248485400001</v>
      </c>
      <c r="K640" s="15" t="s">
        <v>16</v>
      </c>
      <c r="L640" s="13"/>
      <c r="M640" s="13"/>
      <c r="N640" s="14"/>
    </row>
    <row r="641" spans="1:14" x14ac:dyDescent="0.35">
      <c r="A641" s="16" t="s">
        <v>53</v>
      </c>
      <c r="B641" s="13" t="s">
        <v>54</v>
      </c>
      <c r="C641" s="12">
        <v>44511</v>
      </c>
      <c r="D641" s="8">
        <v>44.154000000000003</v>
      </c>
      <c r="E641" s="8">
        <v>67.94</v>
      </c>
      <c r="F641" s="13"/>
      <c r="G641" s="13" t="s">
        <v>38</v>
      </c>
      <c r="H641" s="13" t="s">
        <v>40</v>
      </c>
      <c r="I641" s="13" t="s">
        <v>55</v>
      </c>
      <c r="J641" s="17">
        <f t="shared" si="9"/>
        <v>2999.82276</v>
      </c>
      <c r="K641" s="15" t="s">
        <v>16</v>
      </c>
      <c r="L641" s="13"/>
      <c r="M641" s="13"/>
      <c r="N641" s="14"/>
    </row>
    <row r="642" spans="1:14" x14ac:dyDescent="0.35">
      <c r="A642" s="16" t="s">
        <v>27</v>
      </c>
      <c r="B642" s="13" t="s">
        <v>56</v>
      </c>
      <c r="C642" s="12">
        <v>44511</v>
      </c>
      <c r="D642" s="8">
        <v>93.191999999999993</v>
      </c>
      <c r="E642" s="8">
        <v>10.73</v>
      </c>
      <c r="F642" s="13"/>
      <c r="G642" s="13" t="s">
        <v>13</v>
      </c>
      <c r="H642" s="13" t="s">
        <v>40</v>
      </c>
      <c r="I642" s="13" t="s">
        <v>57</v>
      </c>
      <c r="J642" s="17">
        <f t="shared" ref="J642:J705" si="10">D642*E642</f>
        <v>999.95015999999998</v>
      </c>
      <c r="K642" s="15" t="s">
        <v>16</v>
      </c>
      <c r="L642" s="13"/>
      <c r="M642" s="13"/>
      <c r="N642" s="14"/>
    </row>
    <row r="643" spans="1:14" x14ac:dyDescent="0.35">
      <c r="A643" s="16">
        <v>79931510915</v>
      </c>
      <c r="B643" s="13" t="s">
        <v>39</v>
      </c>
      <c r="C643" s="12">
        <v>44511</v>
      </c>
      <c r="D643" s="8">
        <v>18.052</v>
      </c>
      <c r="E643" s="8">
        <v>110.785</v>
      </c>
      <c r="F643" s="13"/>
      <c r="G643" s="13" t="s">
        <v>38</v>
      </c>
      <c r="H643" s="13" t="s">
        <v>40</v>
      </c>
      <c r="I643" s="13" t="s">
        <v>41</v>
      </c>
      <c r="J643" s="17">
        <f t="shared" si="10"/>
        <v>1999.8908199999998</v>
      </c>
      <c r="K643" s="15" t="s">
        <v>16</v>
      </c>
      <c r="L643" s="13"/>
      <c r="M643" s="13"/>
      <c r="N643" s="14"/>
    </row>
    <row r="644" spans="1:14" x14ac:dyDescent="0.35">
      <c r="A644" s="16" t="s">
        <v>37</v>
      </c>
      <c r="B644" s="13" t="s">
        <v>25</v>
      </c>
      <c r="C644" s="12">
        <v>44512</v>
      </c>
      <c r="D644" s="8">
        <v>91.647000000000006</v>
      </c>
      <c r="E644" s="8">
        <v>54.554200000000002</v>
      </c>
      <c r="F644" s="13"/>
      <c r="G644" s="13" t="s">
        <v>38</v>
      </c>
      <c r="H644" s="13"/>
      <c r="I644" s="13" t="s">
        <v>26</v>
      </c>
      <c r="J644" s="17">
        <f t="shared" si="10"/>
        <v>4999.7287674000008</v>
      </c>
      <c r="K644" s="15" t="s">
        <v>16</v>
      </c>
      <c r="L644" s="13"/>
      <c r="M644" s="13"/>
      <c r="N644" s="14"/>
    </row>
    <row r="645" spans="1:14" x14ac:dyDescent="0.35">
      <c r="A645" s="16" t="s">
        <v>20</v>
      </c>
      <c r="B645" s="13" t="s">
        <v>34</v>
      </c>
      <c r="C645" s="12">
        <v>44512</v>
      </c>
      <c r="D645" s="8">
        <v>6.4160000000000004</v>
      </c>
      <c r="E645" s="8">
        <v>155.8425</v>
      </c>
      <c r="F645" s="13"/>
      <c r="G645" s="13" t="s">
        <v>13</v>
      </c>
      <c r="H645" s="13" t="s">
        <v>35</v>
      </c>
      <c r="I645" s="13" t="s">
        <v>36</v>
      </c>
      <c r="J645" s="17">
        <f t="shared" si="10"/>
        <v>999.88548000000003</v>
      </c>
      <c r="K645" s="15" t="s">
        <v>16</v>
      </c>
      <c r="L645" s="13"/>
      <c r="M645" s="13"/>
      <c r="N645" s="14"/>
    </row>
    <row r="646" spans="1:14" x14ac:dyDescent="0.35">
      <c r="A646" s="16" t="s">
        <v>49</v>
      </c>
      <c r="B646" s="13" t="s">
        <v>39</v>
      </c>
      <c r="C646" s="12">
        <v>44518</v>
      </c>
      <c r="D646" s="8">
        <v>23.568999999999999</v>
      </c>
      <c r="E646" s="8">
        <v>106.068</v>
      </c>
      <c r="F646" s="13"/>
      <c r="G646" s="13" t="s">
        <v>31</v>
      </c>
      <c r="H646" s="13" t="s">
        <v>40</v>
      </c>
      <c r="I646" s="13" t="s">
        <v>41</v>
      </c>
      <c r="J646" s="17">
        <f t="shared" si="10"/>
        <v>2499.9166919999998</v>
      </c>
      <c r="K646" s="15" t="s">
        <v>32</v>
      </c>
      <c r="L646" s="13"/>
      <c r="M646" s="13"/>
      <c r="N646" s="14"/>
    </row>
    <row r="647" spans="1:14" x14ac:dyDescent="0.35">
      <c r="A647" s="16" t="s">
        <v>53</v>
      </c>
      <c r="B647" s="13" t="s">
        <v>54</v>
      </c>
      <c r="C647" s="12">
        <v>44522</v>
      </c>
      <c r="D647" s="8">
        <v>106.232</v>
      </c>
      <c r="E647" s="8">
        <v>65.89</v>
      </c>
      <c r="F647" s="13"/>
      <c r="G647" s="13" t="s">
        <v>38</v>
      </c>
      <c r="H647" s="13" t="s">
        <v>40</v>
      </c>
      <c r="I647" s="13" t="s">
        <v>55</v>
      </c>
      <c r="J647" s="17">
        <f t="shared" si="10"/>
        <v>6999.6264799999999</v>
      </c>
      <c r="K647" s="15" t="s">
        <v>16</v>
      </c>
      <c r="L647" s="13"/>
      <c r="M647" s="13"/>
      <c r="N647" s="14"/>
    </row>
    <row r="648" spans="1:14" x14ac:dyDescent="0.35">
      <c r="A648" s="16">
        <v>79931510915</v>
      </c>
      <c r="B648" s="13" t="s">
        <v>39</v>
      </c>
      <c r="C648" s="12">
        <v>44522</v>
      </c>
      <c r="D648" s="8">
        <v>28.058</v>
      </c>
      <c r="E648" s="8">
        <v>106.916</v>
      </c>
      <c r="F648" s="13"/>
      <c r="G648" s="13" t="s">
        <v>38</v>
      </c>
      <c r="H648" s="13" t="s">
        <v>40</v>
      </c>
      <c r="I648" s="13" t="s">
        <v>41</v>
      </c>
      <c r="J648" s="17">
        <f t="shared" si="10"/>
        <v>2999.8491279999998</v>
      </c>
      <c r="K648" s="15" t="s">
        <v>16</v>
      </c>
      <c r="L648" s="13"/>
      <c r="M648" s="13"/>
      <c r="N648" s="14"/>
    </row>
    <row r="649" spans="1:14" x14ac:dyDescent="0.35">
      <c r="A649" s="16" t="s">
        <v>37</v>
      </c>
      <c r="B649" s="13" t="s">
        <v>25</v>
      </c>
      <c r="C649" s="12">
        <v>44522</v>
      </c>
      <c r="D649" s="8">
        <v>277.25200000000001</v>
      </c>
      <c r="E649" s="8">
        <v>54.117800000000003</v>
      </c>
      <c r="F649" s="13"/>
      <c r="G649" s="13" t="s">
        <v>38</v>
      </c>
      <c r="H649" s="13"/>
      <c r="I649" s="13" t="s">
        <v>26</v>
      </c>
      <c r="J649" s="17">
        <f t="shared" si="10"/>
        <v>15004.268285600001</v>
      </c>
      <c r="K649" s="15" t="s">
        <v>16</v>
      </c>
      <c r="L649" s="13"/>
      <c r="M649" s="13"/>
      <c r="N649" s="14"/>
    </row>
    <row r="650" spans="1:14" x14ac:dyDescent="0.35">
      <c r="A650" s="16" t="s">
        <v>27</v>
      </c>
      <c r="B650" s="13" t="s">
        <v>56</v>
      </c>
      <c r="C650" s="12">
        <v>44541</v>
      </c>
      <c r="D650" s="8">
        <v>96.057000000000002</v>
      </c>
      <c r="E650" s="8">
        <v>10.41</v>
      </c>
      <c r="F650" s="13"/>
      <c r="G650" s="13" t="s">
        <v>13</v>
      </c>
      <c r="H650" s="13" t="s">
        <v>40</v>
      </c>
      <c r="I650" s="13" t="s">
        <v>57</v>
      </c>
      <c r="J650" s="17">
        <f t="shared" si="10"/>
        <v>999.95337000000006</v>
      </c>
      <c r="K650" s="15" t="s">
        <v>16</v>
      </c>
      <c r="L650" s="13"/>
      <c r="M650" s="13"/>
      <c r="N650" s="14"/>
    </row>
    <row r="651" spans="1:14" x14ac:dyDescent="0.35">
      <c r="A651" s="16" t="s">
        <v>53</v>
      </c>
      <c r="B651" s="13" t="s">
        <v>54</v>
      </c>
      <c r="C651" s="12">
        <v>44543</v>
      </c>
      <c r="D651" s="8">
        <v>44.161000000000001</v>
      </c>
      <c r="E651" s="8">
        <v>67.930000000000007</v>
      </c>
      <c r="F651" s="13"/>
      <c r="G651" s="13" t="s">
        <v>38</v>
      </c>
      <c r="H651" s="13" t="s">
        <v>40</v>
      </c>
      <c r="I651" s="13" t="s">
        <v>55</v>
      </c>
      <c r="J651" s="17">
        <f t="shared" si="10"/>
        <v>2999.8567300000004</v>
      </c>
      <c r="K651" s="15" t="s">
        <v>16</v>
      </c>
      <c r="L651" s="13"/>
      <c r="M651" s="13"/>
      <c r="N651" s="14"/>
    </row>
    <row r="652" spans="1:14" x14ac:dyDescent="0.35">
      <c r="A652" s="16">
        <v>79931510915</v>
      </c>
      <c r="B652" s="13" t="s">
        <v>39</v>
      </c>
      <c r="C652" s="12">
        <v>44543</v>
      </c>
      <c r="D652" s="8">
        <v>18.632999999999999</v>
      </c>
      <c r="E652" s="8">
        <v>107.333</v>
      </c>
      <c r="F652" s="13"/>
      <c r="G652" s="13" t="s">
        <v>38</v>
      </c>
      <c r="H652" s="13" t="s">
        <v>40</v>
      </c>
      <c r="I652" s="13" t="s">
        <v>41</v>
      </c>
      <c r="J652" s="17">
        <f t="shared" si="10"/>
        <v>1999.9357889999999</v>
      </c>
      <c r="K652" s="15" t="s">
        <v>16</v>
      </c>
      <c r="L652" s="13"/>
      <c r="M652" s="13"/>
      <c r="N652" s="14"/>
    </row>
    <row r="653" spans="1:14" x14ac:dyDescent="0.35">
      <c r="A653" s="16" t="s">
        <v>37</v>
      </c>
      <c r="B653" s="13" t="s">
        <v>25</v>
      </c>
      <c r="C653" s="12">
        <v>44543</v>
      </c>
      <c r="D653" s="8">
        <v>90.715000000000003</v>
      </c>
      <c r="E653" s="8">
        <v>55.115000000000002</v>
      </c>
      <c r="F653" s="13"/>
      <c r="G653" s="13" t="s">
        <v>38</v>
      </c>
      <c r="H653" s="13"/>
      <c r="I653" s="13" t="s">
        <v>26</v>
      </c>
      <c r="J653" s="17">
        <f t="shared" si="10"/>
        <v>4999.7572250000003</v>
      </c>
      <c r="K653" s="15" t="s">
        <v>16</v>
      </c>
      <c r="L653" s="13"/>
      <c r="M653" s="13"/>
      <c r="N653" s="14"/>
    </row>
    <row r="654" spans="1:14" x14ac:dyDescent="0.35">
      <c r="A654" s="16" t="s">
        <v>20</v>
      </c>
      <c r="B654" s="13" t="s">
        <v>34</v>
      </c>
      <c r="C654" s="12">
        <v>44544</v>
      </c>
      <c r="D654" s="8">
        <v>6.7</v>
      </c>
      <c r="E654" s="8">
        <v>149.2456</v>
      </c>
      <c r="F654" s="13"/>
      <c r="G654" s="13" t="s">
        <v>13</v>
      </c>
      <c r="H654" s="13" t="s">
        <v>35</v>
      </c>
      <c r="I654" s="13" t="s">
        <v>36</v>
      </c>
      <c r="J654" s="17">
        <f t="shared" si="10"/>
        <v>999.94551999999999</v>
      </c>
      <c r="K654" s="15" t="s">
        <v>16</v>
      </c>
      <c r="L654" s="13"/>
      <c r="M654" s="13"/>
      <c r="N654" s="14"/>
    </row>
    <row r="655" spans="1:14" x14ac:dyDescent="0.35">
      <c r="A655" s="16" t="s">
        <v>37</v>
      </c>
      <c r="B655" s="13" t="s">
        <v>25</v>
      </c>
      <c r="C655" s="12">
        <v>44547</v>
      </c>
      <c r="D655" s="8">
        <v>2532.357</v>
      </c>
      <c r="E655" s="8">
        <v>53.504800000000003</v>
      </c>
      <c r="F655" s="13"/>
      <c r="G655" s="13" t="s">
        <v>38</v>
      </c>
      <c r="H655" s="13"/>
      <c r="I655" s="13" t="s">
        <v>26</v>
      </c>
      <c r="J655" s="17">
        <f t="shared" si="10"/>
        <v>135493.25481360001</v>
      </c>
      <c r="K655" s="15" t="s">
        <v>16</v>
      </c>
      <c r="L655" s="13"/>
      <c r="M655" s="13"/>
      <c r="N655" s="14"/>
    </row>
    <row r="656" spans="1:14" x14ac:dyDescent="0.35">
      <c r="A656" s="16" t="s">
        <v>49</v>
      </c>
      <c r="B656" s="13" t="s">
        <v>39</v>
      </c>
      <c r="C656" s="12">
        <v>44550</v>
      </c>
      <c r="D656" s="8">
        <v>24.253</v>
      </c>
      <c r="E656" s="8">
        <v>103.077</v>
      </c>
      <c r="F656" s="13"/>
      <c r="G656" s="13" t="s">
        <v>31</v>
      </c>
      <c r="H656" s="13" t="s">
        <v>40</v>
      </c>
      <c r="I656" s="13" t="s">
        <v>41</v>
      </c>
      <c r="J656" s="17">
        <f t="shared" si="10"/>
        <v>2499.926481</v>
      </c>
      <c r="K656" s="15" t="s">
        <v>32</v>
      </c>
      <c r="L656" s="13"/>
      <c r="M656" s="13"/>
      <c r="N656" s="14"/>
    </row>
    <row r="657" spans="1:14" x14ac:dyDescent="0.35">
      <c r="A657" s="16">
        <v>79931510915</v>
      </c>
      <c r="B657" s="13" t="s">
        <v>39</v>
      </c>
      <c r="C657" s="12">
        <v>44552</v>
      </c>
      <c r="D657" s="8">
        <v>28.760999999999999</v>
      </c>
      <c r="E657" s="8">
        <v>104.304</v>
      </c>
      <c r="F657" s="13"/>
      <c r="G657" s="13" t="s">
        <v>38</v>
      </c>
      <c r="H657" s="13" t="s">
        <v>40</v>
      </c>
      <c r="I657" s="13" t="s">
        <v>41</v>
      </c>
      <c r="J657" s="17">
        <f t="shared" si="10"/>
        <v>2999.8873439999998</v>
      </c>
      <c r="K657" s="15" t="s">
        <v>16</v>
      </c>
      <c r="L657" s="13"/>
      <c r="M657" s="13"/>
      <c r="N657" s="14"/>
    </row>
    <row r="658" spans="1:14" x14ac:dyDescent="0.35">
      <c r="A658" s="16" t="s">
        <v>53</v>
      </c>
      <c r="B658" s="13" t="s">
        <v>54</v>
      </c>
      <c r="C658" s="12">
        <v>44559</v>
      </c>
      <c r="D658" s="8">
        <v>102.815</v>
      </c>
      <c r="E658" s="8">
        <v>68.08</v>
      </c>
      <c r="F658" s="13"/>
      <c r="G658" s="13" t="s">
        <v>38</v>
      </c>
      <c r="H658" s="13" t="s">
        <v>40</v>
      </c>
      <c r="I658" s="13" t="s">
        <v>55</v>
      </c>
      <c r="J658" s="17">
        <f t="shared" si="10"/>
        <v>6999.6451999999999</v>
      </c>
      <c r="K658" s="15" t="s">
        <v>16</v>
      </c>
      <c r="L658" s="13"/>
      <c r="M658" s="13"/>
      <c r="N658" s="14"/>
    </row>
    <row r="659" spans="1:14" x14ac:dyDescent="0.35">
      <c r="A659" s="16" t="s">
        <v>27</v>
      </c>
      <c r="B659" s="13" t="s">
        <v>56</v>
      </c>
      <c r="C659" s="12">
        <v>44559</v>
      </c>
      <c r="D659" s="8">
        <v>97.271000000000001</v>
      </c>
      <c r="E659" s="8">
        <v>10.28</v>
      </c>
      <c r="F659" s="13"/>
      <c r="G659" s="13" t="s">
        <v>13</v>
      </c>
      <c r="H659" s="13" t="s">
        <v>40</v>
      </c>
      <c r="I659" s="13" t="s">
        <v>57</v>
      </c>
      <c r="J659" s="17">
        <f t="shared" si="10"/>
        <v>999.94587999999999</v>
      </c>
      <c r="K659" s="15" t="s">
        <v>16</v>
      </c>
      <c r="L659" s="13"/>
      <c r="M659" s="13"/>
      <c r="N659" s="14"/>
    </row>
    <row r="660" spans="1:14" x14ac:dyDescent="0.35">
      <c r="A660" s="16" t="s">
        <v>53</v>
      </c>
      <c r="B660" s="13" t="s">
        <v>54</v>
      </c>
      <c r="C660" s="12">
        <v>44572</v>
      </c>
      <c r="D660" s="8">
        <v>42.539000000000001</v>
      </c>
      <c r="E660" s="8">
        <v>70.52</v>
      </c>
      <c r="F660" s="13"/>
      <c r="G660" s="13" t="s">
        <v>38</v>
      </c>
      <c r="H660" s="13" t="s">
        <v>40</v>
      </c>
      <c r="I660" s="13" t="s">
        <v>55</v>
      </c>
      <c r="J660" s="17">
        <f t="shared" si="10"/>
        <v>2999.8502800000001</v>
      </c>
      <c r="K660" s="15" t="s">
        <v>16</v>
      </c>
      <c r="L660" s="13"/>
      <c r="M660" s="13"/>
      <c r="N660" s="14"/>
    </row>
    <row r="661" spans="1:14" x14ac:dyDescent="0.35">
      <c r="A661" s="16" t="s">
        <v>27</v>
      </c>
      <c r="B661" s="13" t="s">
        <v>56</v>
      </c>
      <c r="C661" s="12">
        <v>44572</v>
      </c>
      <c r="D661" s="8">
        <v>91.91</v>
      </c>
      <c r="E661" s="8">
        <v>10.88</v>
      </c>
      <c r="F661" s="13"/>
      <c r="G661" s="13" t="s">
        <v>13</v>
      </c>
      <c r="H661" s="13" t="s">
        <v>40</v>
      </c>
      <c r="I661" s="13" t="s">
        <v>57</v>
      </c>
      <c r="J661" s="17">
        <f t="shared" si="10"/>
        <v>999.98080000000004</v>
      </c>
      <c r="K661" s="15" t="s">
        <v>16</v>
      </c>
      <c r="L661" s="13"/>
      <c r="M661" s="13"/>
      <c r="N661" s="14"/>
    </row>
    <row r="662" spans="1:14" x14ac:dyDescent="0.35">
      <c r="A662" s="16">
        <v>79931510915</v>
      </c>
      <c r="B662" s="13" t="s">
        <v>39</v>
      </c>
      <c r="C662" s="12">
        <v>44572</v>
      </c>
      <c r="D662" s="8">
        <v>17.969000000000001</v>
      </c>
      <c r="E662" s="8">
        <v>111.3</v>
      </c>
      <c r="F662" s="13"/>
      <c r="G662" s="13" t="s">
        <v>38</v>
      </c>
      <c r="H662" s="13" t="s">
        <v>40</v>
      </c>
      <c r="I662" s="13" t="s">
        <v>41</v>
      </c>
      <c r="J662" s="17">
        <f t="shared" si="10"/>
        <v>1999.9497000000001</v>
      </c>
      <c r="K662" s="15" t="s">
        <v>16</v>
      </c>
      <c r="L662" s="13"/>
      <c r="M662" s="13"/>
      <c r="N662" s="14"/>
    </row>
    <row r="663" spans="1:14" x14ac:dyDescent="0.35">
      <c r="A663" s="16" t="s">
        <v>37</v>
      </c>
      <c r="B663" s="13" t="s">
        <v>25</v>
      </c>
      <c r="C663" s="12">
        <v>44572</v>
      </c>
      <c r="D663" s="8">
        <v>92.05</v>
      </c>
      <c r="E663" s="8">
        <v>55.115000000000002</v>
      </c>
      <c r="F663" s="13"/>
      <c r="G663" s="13" t="s">
        <v>38</v>
      </c>
      <c r="H663" s="13"/>
      <c r="I663" s="13" t="s">
        <v>26</v>
      </c>
      <c r="J663" s="17">
        <f t="shared" si="10"/>
        <v>5073.3357500000002</v>
      </c>
      <c r="K663" s="15" t="s">
        <v>16</v>
      </c>
      <c r="L663" s="13"/>
      <c r="M663" s="13"/>
      <c r="N663" s="14"/>
    </row>
    <row r="664" spans="1:14" x14ac:dyDescent="0.35">
      <c r="A664" s="16" t="s">
        <v>53</v>
      </c>
      <c r="B664" s="13" t="s">
        <v>54</v>
      </c>
      <c r="C664" s="12">
        <v>44575</v>
      </c>
      <c r="D664" s="8">
        <v>141.536</v>
      </c>
      <c r="E664" s="8">
        <v>70.650000000000006</v>
      </c>
      <c r="F664" s="13"/>
      <c r="G664" s="13" t="s">
        <v>38</v>
      </c>
      <c r="H664" s="13" t="s">
        <v>40</v>
      </c>
      <c r="I664" s="13" t="s">
        <v>55</v>
      </c>
      <c r="J664" s="17">
        <f t="shared" si="10"/>
        <v>9999.5184000000008</v>
      </c>
      <c r="K664" s="15" t="s">
        <v>16</v>
      </c>
      <c r="L664" s="13"/>
      <c r="M664" s="13"/>
      <c r="N664" s="14"/>
    </row>
    <row r="665" spans="1:14" x14ac:dyDescent="0.35">
      <c r="A665" s="16" t="s">
        <v>37</v>
      </c>
      <c r="B665" s="13" t="s">
        <v>25</v>
      </c>
      <c r="C665" s="12">
        <v>44575</v>
      </c>
      <c r="D665" s="8">
        <v>183.05</v>
      </c>
      <c r="E665" s="8">
        <v>54.627299999999998</v>
      </c>
      <c r="F665" s="13"/>
      <c r="G665" s="13" t="s">
        <v>38</v>
      </c>
      <c r="H665" s="13"/>
      <c r="I665" s="13" t="s">
        <v>26</v>
      </c>
      <c r="J665" s="17">
        <f t="shared" si="10"/>
        <v>9999.5272650000006</v>
      </c>
      <c r="K665" s="15" t="s">
        <v>16</v>
      </c>
      <c r="L665" s="13"/>
      <c r="M665" s="13"/>
      <c r="N665" s="14"/>
    </row>
    <row r="666" spans="1:14" x14ac:dyDescent="0.35">
      <c r="A666" s="16" t="s">
        <v>33</v>
      </c>
      <c r="B666" s="13" t="s">
        <v>25</v>
      </c>
      <c r="C666" s="12">
        <v>44575</v>
      </c>
      <c r="D666" s="8">
        <v>91.525000000000006</v>
      </c>
      <c r="E666" s="8">
        <v>54.627299999999998</v>
      </c>
      <c r="F666" s="13"/>
      <c r="G666" s="13" t="s">
        <v>31</v>
      </c>
      <c r="H666" s="13" t="s">
        <v>14</v>
      </c>
      <c r="I666" s="13" t="s">
        <v>26</v>
      </c>
      <c r="J666" s="17">
        <f t="shared" si="10"/>
        <v>4999.7636325000003</v>
      </c>
      <c r="K666" s="15" t="s">
        <v>32</v>
      </c>
      <c r="L666" s="13"/>
      <c r="M666" s="13"/>
      <c r="N666" s="14"/>
    </row>
    <row r="667" spans="1:14" x14ac:dyDescent="0.35">
      <c r="A667" s="16" t="s">
        <v>33</v>
      </c>
      <c r="B667" s="13" t="s">
        <v>25</v>
      </c>
      <c r="C667" s="12">
        <v>44579</v>
      </c>
      <c r="D667" s="8">
        <v>91.900999999999996</v>
      </c>
      <c r="E667" s="8">
        <v>54.403700000000001</v>
      </c>
      <c r="F667" s="13"/>
      <c r="G667" s="13" t="s">
        <v>31</v>
      </c>
      <c r="H667" s="13" t="s">
        <v>14</v>
      </c>
      <c r="I667" s="13" t="s">
        <v>26</v>
      </c>
      <c r="J667" s="17">
        <f t="shared" si="10"/>
        <v>4999.7544336999999</v>
      </c>
      <c r="K667" s="15" t="s">
        <v>32</v>
      </c>
      <c r="L667" s="13"/>
      <c r="M667" s="13"/>
      <c r="N667" s="14"/>
    </row>
    <row r="668" spans="1:14" x14ac:dyDescent="0.35">
      <c r="A668" s="16" t="s">
        <v>49</v>
      </c>
      <c r="B668" s="13" t="s">
        <v>39</v>
      </c>
      <c r="C668" s="12">
        <v>44579</v>
      </c>
      <c r="D668" s="8">
        <v>22.861999999999998</v>
      </c>
      <c r="E668" s="8">
        <v>109.348</v>
      </c>
      <c r="F668" s="13"/>
      <c r="G668" s="13" t="s">
        <v>31</v>
      </c>
      <c r="H668" s="13" t="s">
        <v>40</v>
      </c>
      <c r="I668" s="13" t="s">
        <v>41</v>
      </c>
      <c r="J668" s="17">
        <f t="shared" si="10"/>
        <v>2499.9139759999998</v>
      </c>
      <c r="K668" s="15" t="s">
        <v>32</v>
      </c>
      <c r="L668" s="13"/>
      <c r="M668" s="13"/>
      <c r="N668" s="14"/>
    </row>
    <row r="669" spans="1:14" x14ac:dyDescent="0.35">
      <c r="A669" s="16" t="s">
        <v>53</v>
      </c>
      <c r="B669" s="13" t="s">
        <v>54</v>
      </c>
      <c r="C669" s="12">
        <v>44580</v>
      </c>
      <c r="D669" s="8">
        <v>185.04400000000001</v>
      </c>
      <c r="E669" s="8">
        <v>70.25</v>
      </c>
      <c r="F669" s="13"/>
      <c r="G669" s="13" t="s">
        <v>38</v>
      </c>
      <c r="H669" s="13" t="s">
        <v>40</v>
      </c>
      <c r="I669" s="13" t="s">
        <v>55</v>
      </c>
      <c r="J669" s="17">
        <f t="shared" si="10"/>
        <v>12999.341</v>
      </c>
      <c r="K669" s="15" t="s">
        <v>16</v>
      </c>
      <c r="L669" s="13"/>
      <c r="M669" s="13"/>
      <c r="N669" s="14"/>
    </row>
    <row r="670" spans="1:14" x14ac:dyDescent="0.35">
      <c r="A670" s="16" t="s">
        <v>27</v>
      </c>
      <c r="B670" s="13" t="s">
        <v>56</v>
      </c>
      <c r="C670" s="12">
        <v>44580</v>
      </c>
      <c r="D670" s="8">
        <v>92.501999999999995</v>
      </c>
      <c r="E670" s="8">
        <v>10.81</v>
      </c>
      <c r="F670" s="13"/>
      <c r="G670" s="13" t="s">
        <v>13</v>
      </c>
      <c r="H670" s="13" t="s">
        <v>40</v>
      </c>
      <c r="I670" s="13" t="s">
        <v>57</v>
      </c>
      <c r="J670" s="17">
        <f t="shared" si="10"/>
        <v>999.94661999999994</v>
      </c>
      <c r="K670" s="15" t="s">
        <v>16</v>
      </c>
      <c r="L670" s="13"/>
      <c r="M670" s="13"/>
      <c r="N670" s="14"/>
    </row>
    <row r="671" spans="1:14" x14ac:dyDescent="0.35">
      <c r="A671" s="16" t="s">
        <v>37</v>
      </c>
      <c r="B671" s="13" t="s">
        <v>25</v>
      </c>
      <c r="C671" s="12">
        <v>44580</v>
      </c>
      <c r="D671" s="8">
        <v>277.93900000000002</v>
      </c>
      <c r="E671" s="8">
        <v>53.966000000000001</v>
      </c>
      <c r="F671" s="13"/>
      <c r="G671" s="13" t="s">
        <v>38</v>
      </c>
      <c r="H671" s="13"/>
      <c r="I671" s="13" t="s">
        <v>26</v>
      </c>
      <c r="J671" s="17">
        <f t="shared" si="10"/>
        <v>14999.256074000001</v>
      </c>
      <c r="K671" s="15" t="s">
        <v>16</v>
      </c>
      <c r="L671" s="13"/>
      <c r="M671" s="13"/>
      <c r="N671" s="14"/>
    </row>
    <row r="672" spans="1:14" x14ac:dyDescent="0.35">
      <c r="A672" s="16" t="s">
        <v>20</v>
      </c>
      <c r="B672" s="13" t="s">
        <v>34</v>
      </c>
      <c r="C672" s="12">
        <v>44580</v>
      </c>
      <c r="D672" s="8">
        <v>19.445</v>
      </c>
      <c r="E672" s="8">
        <v>154.2723</v>
      </c>
      <c r="F672" s="13"/>
      <c r="G672" s="13" t="s">
        <v>13</v>
      </c>
      <c r="H672" s="13" t="s">
        <v>35</v>
      </c>
      <c r="I672" s="13" t="s">
        <v>36</v>
      </c>
      <c r="J672" s="17">
        <f t="shared" si="10"/>
        <v>2999.8248735000002</v>
      </c>
      <c r="K672" s="15" t="s">
        <v>16</v>
      </c>
      <c r="L672" s="13"/>
      <c r="M672" s="13"/>
      <c r="N672" s="14"/>
    </row>
    <row r="673" spans="1:14" x14ac:dyDescent="0.35">
      <c r="A673" s="16" t="s">
        <v>33</v>
      </c>
      <c r="B673" s="13" t="s">
        <v>25</v>
      </c>
      <c r="C673" s="12">
        <v>44580</v>
      </c>
      <c r="D673" s="8">
        <v>92.646000000000001</v>
      </c>
      <c r="E673" s="8">
        <v>53.966000000000001</v>
      </c>
      <c r="F673" s="13"/>
      <c r="G673" s="13" t="s">
        <v>31</v>
      </c>
      <c r="H673" s="13" t="s">
        <v>14</v>
      </c>
      <c r="I673" s="13" t="s">
        <v>26</v>
      </c>
      <c r="J673" s="17">
        <f t="shared" si="10"/>
        <v>4999.7340359999998</v>
      </c>
      <c r="K673" s="15" t="s">
        <v>32</v>
      </c>
      <c r="L673" s="13"/>
      <c r="M673" s="13"/>
      <c r="N673" s="14"/>
    </row>
    <row r="674" spans="1:14" x14ac:dyDescent="0.35">
      <c r="A674" s="16" t="s">
        <v>53</v>
      </c>
      <c r="B674" s="13" t="s">
        <v>54</v>
      </c>
      <c r="C674" s="12">
        <v>44581</v>
      </c>
      <c r="D674" s="8">
        <v>283.63400000000001</v>
      </c>
      <c r="E674" s="8">
        <v>70.510000000000005</v>
      </c>
      <c r="F674" s="13"/>
      <c r="G674" s="13" t="s">
        <v>38</v>
      </c>
      <c r="H674" s="13" t="s">
        <v>40</v>
      </c>
      <c r="I674" s="13" t="s">
        <v>55</v>
      </c>
      <c r="J674" s="17">
        <f t="shared" si="10"/>
        <v>19999.033340000002</v>
      </c>
      <c r="K674" s="15" t="s">
        <v>16</v>
      </c>
      <c r="L674" s="13"/>
      <c r="M674" s="13"/>
      <c r="N674" s="14"/>
    </row>
    <row r="675" spans="1:14" x14ac:dyDescent="0.35">
      <c r="A675" s="16" t="s">
        <v>37</v>
      </c>
      <c r="B675" s="13" t="s">
        <v>25</v>
      </c>
      <c r="C675" s="12">
        <v>44581</v>
      </c>
      <c r="D675" s="8">
        <v>370.93200000000002</v>
      </c>
      <c r="E675" s="8">
        <v>53.915500000000002</v>
      </c>
      <c r="F675" s="13"/>
      <c r="G675" s="13" t="s">
        <v>38</v>
      </c>
      <c r="H675" s="13"/>
      <c r="I675" s="13" t="s">
        <v>26</v>
      </c>
      <c r="J675" s="17">
        <f t="shared" si="10"/>
        <v>19998.984246</v>
      </c>
      <c r="K675" s="15" t="s">
        <v>16</v>
      </c>
      <c r="L675" s="13"/>
      <c r="M675" s="13"/>
      <c r="N675" s="14"/>
    </row>
    <row r="676" spans="1:14" x14ac:dyDescent="0.35">
      <c r="A676" s="16" t="s">
        <v>53</v>
      </c>
      <c r="B676" s="13" t="s">
        <v>54</v>
      </c>
      <c r="C676" s="12">
        <v>44582</v>
      </c>
      <c r="D676" s="8">
        <v>431.07499999999999</v>
      </c>
      <c r="E676" s="8">
        <v>69.59</v>
      </c>
      <c r="F676" s="13"/>
      <c r="G676" s="13" t="s">
        <v>38</v>
      </c>
      <c r="H676" s="13" t="s">
        <v>40</v>
      </c>
      <c r="I676" s="13" t="s">
        <v>55</v>
      </c>
      <c r="J676" s="17">
        <f t="shared" si="10"/>
        <v>29998.509249999999</v>
      </c>
      <c r="K676" s="15" t="s">
        <v>16</v>
      </c>
      <c r="L676" s="13"/>
      <c r="M676" s="13"/>
      <c r="N676" s="14"/>
    </row>
    <row r="677" spans="1:14" x14ac:dyDescent="0.35">
      <c r="A677" s="16" t="s">
        <v>37</v>
      </c>
      <c r="B677" s="13" t="s">
        <v>25</v>
      </c>
      <c r="C677" s="12">
        <v>44582</v>
      </c>
      <c r="D677" s="8">
        <v>563.38099999999997</v>
      </c>
      <c r="E677" s="8">
        <v>53.247300000000003</v>
      </c>
      <c r="F677" s="13"/>
      <c r="G677" s="13" t="s">
        <v>38</v>
      </c>
      <c r="H677" s="13"/>
      <c r="I677" s="13" t="s">
        <v>26</v>
      </c>
      <c r="J677" s="17">
        <f t="shared" si="10"/>
        <v>29998.517121299999</v>
      </c>
      <c r="K677" s="15" t="s">
        <v>16</v>
      </c>
      <c r="L677" s="13"/>
      <c r="M677" s="13"/>
      <c r="N677" s="14"/>
    </row>
    <row r="678" spans="1:14" x14ac:dyDescent="0.35">
      <c r="A678" s="16" t="s">
        <v>53</v>
      </c>
      <c r="B678" s="13" t="s">
        <v>54</v>
      </c>
      <c r="C678" s="12">
        <v>44585</v>
      </c>
      <c r="D678" s="8">
        <v>1249.566</v>
      </c>
      <c r="E678" s="8">
        <v>67.22</v>
      </c>
      <c r="F678" s="13"/>
      <c r="G678" s="13" t="s">
        <v>38</v>
      </c>
      <c r="H678" s="13" t="s">
        <v>40</v>
      </c>
      <c r="I678" s="13" t="s">
        <v>55</v>
      </c>
      <c r="J678" s="17">
        <f t="shared" si="10"/>
        <v>83995.826520000002</v>
      </c>
      <c r="K678" s="15" t="s">
        <v>16</v>
      </c>
      <c r="L678" s="13"/>
      <c r="M678" s="13"/>
      <c r="N678" s="14"/>
    </row>
    <row r="679" spans="1:14" x14ac:dyDescent="0.35">
      <c r="A679" s="16">
        <v>79931510915</v>
      </c>
      <c r="B679" s="13" t="s">
        <v>39</v>
      </c>
      <c r="C679" s="12">
        <v>44585</v>
      </c>
      <c r="D679" s="8">
        <v>28.585000000000001</v>
      </c>
      <c r="E679" s="8">
        <v>104.944</v>
      </c>
      <c r="F679" s="13"/>
      <c r="G679" s="13" t="s">
        <v>38</v>
      </c>
      <c r="H679" s="13" t="s">
        <v>40</v>
      </c>
      <c r="I679" s="13" t="s">
        <v>41</v>
      </c>
      <c r="J679" s="17">
        <f t="shared" si="10"/>
        <v>2999.8242400000004</v>
      </c>
      <c r="K679" s="15" t="s">
        <v>16</v>
      </c>
      <c r="L679" s="13"/>
      <c r="M679" s="13"/>
      <c r="N679" s="14"/>
    </row>
    <row r="680" spans="1:14" x14ac:dyDescent="0.35">
      <c r="A680" s="16" t="s">
        <v>37</v>
      </c>
      <c r="B680" s="13" t="s">
        <v>25</v>
      </c>
      <c r="C680" s="12">
        <v>44585</v>
      </c>
      <c r="D680" s="8">
        <v>1545.16</v>
      </c>
      <c r="E680" s="8">
        <v>51.771999999999998</v>
      </c>
      <c r="F680" s="13"/>
      <c r="G680" s="13" t="s">
        <v>38</v>
      </c>
      <c r="H680" s="13"/>
      <c r="I680" s="13" t="s">
        <v>26</v>
      </c>
      <c r="J680" s="17">
        <f t="shared" si="10"/>
        <v>79996.023520000002</v>
      </c>
      <c r="K680" s="15" t="s">
        <v>16</v>
      </c>
      <c r="L680" s="13"/>
      <c r="M680" s="13"/>
      <c r="N680" s="14"/>
    </row>
    <row r="681" spans="1:14" x14ac:dyDescent="0.35">
      <c r="A681" s="16" t="s">
        <v>53</v>
      </c>
      <c r="B681" s="13" t="s">
        <v>54</v>
      </c>
      <c r="C681" s="12">
        <v>44586</v>
      </c>
      <c r="D681" s="8">
        <v>1180.579</v>
      </c>
      <c r="E681" s="8">
        <v>67.760000000000005</v>
      </c>
      <c r="F681" s="13"/>
      <c r="G681" s="13" t="s">
        <v>38</v>
      </c>
      <c r="H681" s="13" t="s">
        <v>40</v>
      </c>
      <c r="I681" s="13" t="s">
        <v>55</v>
      </c>
      <c r="J681" s="17">
        <f t="shared" si="10"/>
        <v>79996.033040000009</v>
      </c>
      <c r="K681" s="15" t="s">
        <v>16</v>
      </c>
      <c r="L681" s="13"/>
      <c r="M681" s="13"/>
      <c r="N681" s="14"/>
    </row>
    <row r="682" spans="1:14" x14ac:dyDescent="0.35">
      <c r="A682" s="16" t="s">
        <v>37</v>
      </c>
      <c r="B682" s="13" t="s">
        <v>25</v>
      </c>
      <c r="C682" s="12">
        <v>44586</v>
      </c>
      <c r="D682" s="8">
        <v>748.71299999999997</v>
      </c>
      <c r="E682" s="8">
        <v>52.353900000000003</v>
      </c>
      <c r="F682" s="13"/>
      <c r="G682" s="13" t="s">
        <v>38</v>
      </c>
      <c r="H682" s="13"/>
      <c r="I682" s="13" t="s">
        <v>26</v>
      </c>
      <c r="J682" s="17">
        <f t="shared" si="10"/>
        <v>39198.045530700001</v>
      </c>
      <c r="K682" s="15" t="s">
        <v>16</v>
      </c>
      <c r="L682" s="13"/>
      <c r="M682" s="13"/>
      <c r="N682" s="14"/>
    </row>
    <row r="683" spans="1:14" x14ac:dyDescent="0.35">
      <c r="A683" s="16" t="s">
        <v>59</v>
      </c>
      <c r="B683" s="13" t="s">
        <v>54</v>
      </c>
      <c r="C683" s="12">
        <v>44599</v>
      </c>
      <c r="D683" s="8">
        <v>72.323999999999998</v>
      </c>
      <c r="E683" s="8">
        <v>69.13</v>
      </c>
      <c r="F683" s="13"/>
      <c r="G683" s="13" t="s">
        <v>13</v>
      </c>
      <c r="H683" s="13"/>
      <c r="I683" s="13" t="s">
        <v>55</v>
      </c>
      <c r="J683" s="17">
        <f t="shared" si="10"/>
        <v>4999.7581199999995</v>
      </c>
      <c r="K683" s="15" t="s">
        <v>16</v>
      </c>
      <c r="L683" s="13"/>
      <c r="M683" s="13"/>
      <c r="N683" s="14"/>
    </row>
    <row r="684" spans="1:14" x14ac:dyDescent="0.35">
      <c r="A684" s="16" t="s">
        <v>27</v>
      </c>
      <c r="B684" s="13" t="s">
        <v>56</v>
      </c>
      <c r="C684" s="12">
        <v>44599</v>
      </c>
      <c r="D684" s="8">
        <v>235.61500000000001</v>
      </c>
      <c r="E684" s="8">
        <v>10.61</v>
      </c>
      <c r="F684" s="13" t="s">
        <v>58</v>
      </c>
      <c r="G684" s="13" t="s">
        <v>13</v>
      </c>
      <c r="H684" s="13" t="s">
        <v>40</v>
      </c>
      <c r="I684" s="13" t="s">
        <v>57</v>
      </c>
      <c r="J684" s="17">
        <f t="shared" si="10"/>
        <v>2499.8751499999998</v>
      </c>
      <c r="K684" s="15" t="s">
        <v>16</v>
      </c>
      <c r="L684" s="13"/>
      <c r="M684" s="13"/>
      <c r="N684" s="14"/>
    </row>
    <row r="685" spans="1:14" x14ac:dyDescent="0.35">
      <c r="A685" s="16" t="s">
        <v>20</v>
      </c>
      <c r="B685" s="13" t="s">
        <v>34</v>
      </c>
      <c r="C685" s="12">
        <v>44599</v>
      </c>
      <c r="D685" s="8">
        <v>13.510999999999999</v>
      </c>
      <c r="E685" s="8">
        <v>148.01769999999999</v>
      </c>
      <c r="F685" s="13"/>
      <c r="G685" s="13" t="s">
        <v>13</v>
      </c>
      <c r="H685" s="13" t="s">
        <v>35</v>
      </c>
      <c r="I685" s="13" t="s">
        <v>36</v>
      </c>
      <c r="J685" s="17">
        <f t="shared" si="10"/>
        <v>1999.8671446999997</v>
      </c>
      <c r="K685" s="15" t="s">
        <v>16</v>
      </c>
      <c r="L685" s="13"/>
      <c r="M685" s="13"/>
      <c r="N685" s="14"/>
    </row>
    <row r="686" spans="1:14" x14ac:dyDescent="0.35">
      <c r="A686" s="16" t="s">
        <v>59</v>
      </c>
      <c r="B686" s="13" t="s">
        <v>54</v>
      </c>
      <c r="C686" s="12">
        <v>44600</v>
      </c>
      <c r="D686" s="8">
        <v>2126.1030000000001</v>
      </c>
      <c r="E686" s="8">
        <v>68.22</v>
      </c>
      <c r="F686" s="13"/>
      <c r="G686" s="13" t="s">
        <v>13</v>
      </c>
      <c r="H686" s="13"/>
      <c r="I686" s="13" t="s">
        <v>55</v>
      </c>
      <c r="J686" s="17">
        <f t="shared" si="10"/>
        <v>145042.74666</v>
      </c>
      <c r="K686" s="15" t="s">
        <v>16</v>
      </c>
      <c r="L686" s="13"/>
      <c r="M686" s="13"/>
      <c r="N686" s="14"/>
    </row>
    <row r="687" spans="1:14" x14ac:dyDescent="0.35">
      <c r="A687" s="16" t="s">
        <v>59</v>
      </c>
      <c r="B687" s="13" t="s">
        <v>54</v>
      </c>
      <c r="C687" s="12">
        <v>44601</v>
      </c>
      <c r="D687" s="8">
        <v>1100.5319999999999</v>
      </c>
      <c r="E687" s="8">
        <v>68.150000000000006</v>
      </c>
      <c r="F687" s="13"/>
      <c r="G687" s="13" t="s">
        <v>13</v>
      </c>
      <c r="H687" s="13"/>
      <c r="I687" s="13" t="s">
        <v>55</v>
      </c>
      <c r="J687" s="17">
        <f t="shared" si="10"/>
        <v>75001.255799999999</v>
      </c>
      <c r="K687" s="15" t="s">
        <v>16</v>
      </c>
      <c r="L687" s="13"/>
      <c r="M687" s="13"/>
      <c r="N687" s="14"/>
    </row>
    <row r="688" spans="1:14" x14ac:dyDescent="0.35">
      <c r="A688" s="16" t="s">
        <v>59</v>
      </c>
      <c r="B688" s="13" t="s">
        <v>54</v>
      </c>
      <c r="C688" s="12">
        <v>44602</v>
      </c>
      <c r="D688" s="8">
        <v>731.81399999999996</v>
      </c>
      <c r="E688" s="8">
        <v>68.319999999999993</v>
      </c>
      <c r="F688" s="13"/>
      <c r="G688" s="13" t="s">
        <v>13</v>
      </c>
      <c r="H688" s="13"/>
      <c r="I688" s="13" t="s">
        <v>55</v>
      </c>
      <c r="J688" s="17">
        <f t="shared" si="10"/>
        <v>49997.532479999994</v>
      </c>
      <c r="K688" s="15" t="s">
        <v>16</v>
      </c>
      <c r="L688" s="13"/>
      <c r="M688" s="13"/>
      <c r="N688" s="14"/>
    </row>
    <row r="689" spans="1:14" x14ac:dyDescent="0.35">
      <c r="A689" s="16" t="s">
        <v>53</v>
      </c>
      <c r="B689" s="13" t="s">
        <v>54</v>
      </c>
      <c r="C689" s="12">
        <v>44603</v>
      </c>
      <c r="D689" s="8">
        <v>44.502000000000002</v>
      </c>
      <c r="E689" s="8">
        <v>67.41</v>
      </c>
      <c r="F689" s="13"/>
      <c r="G689" s="13" t="s">
        <v>38</v>
      </c>
      <c r="H689" s="13" t="s">
        <v>40</v>
      </c>
      <c r="I689" s="13" t="s">
        <v>55</v>
      </c>
      <c r="J689" s="17">
        <f t="shared" si="10"/>
        <v>2999.8798200000001</v>
      </c>
      <c r="K689" s="15" t="s">
        <v>16</v>
      </c>
      <c r="L689" s="13"/>
      <c r="M689" s="13"/>
      <c r="N689" s="14"/>
    </row>
    <row r="690" spans="1:14" x14ac:dyDescent="0.35">
      <c r="A690" s="16" t="s">
        <v>27</v>
      </c>
      <c r="B690" s="13" t="s">
        <v>56</v>
      </c>
      <c r="C690" s="12">
        <v>44603</v>
      </c>
      <c r="D690" s="8">
        <v>97.841999999999999</v>
      </c>
      <c r="E690" s="8">
        <v>10.220000000000001</v>
      </c>
      <c r="F690" s="13"/>
      <c r="G690" s="13" t="s">
        <v>13</v>
      </c>
      <c r="H690" s="13" t="s">
        <v>40</v>
      </c>
      <c r="I690" s="13" t="s">
        <v>57</v>
      </c>
      <c r="J690" s="17">
        <f t="shared" si="10"/>
        <v>999.94524000000001</v>
      </c>
      <c r="K690" s="15" t="s">
        <v>16</v>
      </c>
      <c r="L690" s="13"/>
      <c r="M690" s="13"/>
      <c r="N690" s="14"/>
    </row>
    <row r="691" spans="1:14" x14ac:dyDescent="0.35">
      <c r="A691" s="16" t="s">
        <v>60</v>
      </c>
      <c r="B691" s="13" t="s">
        <v>61</v>
      </c>
      <c r="C691" s="12">
        <v>44603</v>
      </c>
      <c r="D691" s="8">
        <v>29.518999999999998</v>
      </c>
      <c r="E691" s="8">
        <v>33.875</v>
      </c>
      <c r="F691" s="13"/>
      <c r="G691" s="13" t="s">
        <v>13</v>
      </c>
      <c r="H691" s="13" t="s">
        <v>62</v>
      </c>
      <c r="I691" s="13" t="s">
        <v>63</v>
      </c>
      <c r="J691" s="17">
        <f t="shared" si="10"/>
        <v>999.95612499999993</v>
      </c>
      <c r="K691" s="15" t="s">
        <v>16</v>
      </c>
      <c r="L691" s="13"/>
      <c r="M691" s="13"/>
      <c r="N691" s="14"/>
    </row>
    <row r="692" spans="1:14" x14ac:dyDescent="0.35">
      <c r="A692" s="16">
        <v>79931510915</v>
      </c>
      <c r="B692" s="13" t="s">
        <v>39</v>
      </c>
      <c r="C692" s="12">
        <v>44603</v>
      </c>
      <c r="D692" s="8">
        <v>18.981999999999999</v>
      </c>
      <c r="E692" s="8">
        <v>105.358</v>
      </c>
      <c r="F692" s="13"/>
      <c r="G692" s="13" t="s">
        <v>38</v>
      </c>
      <c r="H692" s="13" t="s">
        <v>40</v>
      </c>
      <c r="I692" s="13" t="s">
        <v>41</v>
      </c>
      <c r="J692" s="17">
        <f t="shared" si="10"/>
        <v>1999.9055559999999</v>
      </c>
      <c r="K692" s="15" t="s">
        <v>16</v>
      </c>
      <c r="L692" s="13"/>
      <c r="M692" s="13"/>
      <c r="N692" s="14"/>
    </row>
    <row r="693" spans="1:14" x14ac:dyDescent="0.35">
      <c r="A693" s="16" t="s">
        <v>37</v>
      </c>
      <c r="B693" s="13" t="s">
        <v>25</v>
      </c>
      <c r="C693" s="12">
        <v>44603</v>
      </c>
      <c r="D693" s="8">
        <v>94.061000000000007</v>
      </c>
      <c r="E693" s="8">
        <v>53.1541</v>
      </c>
      <c r="F693" s="13"/>
      <c r="G693" s="13" t="s">
        <v>38</v>
      </c>
      <c r="H693" s="13"/>
      <c r="I693" s="13" t="s">
        <v>26</v>
      </c>
      <c r="J693" s="17">
        <f t="shared" si="10"/>
        <v>4999.7278001000004</v>
      </c>
      <c r="K693" s="15" t="s">
        <v>16</v>
      </c>
      <c r="L693" s="13"/>
      <c r="M693" s="13"/>
      <c r="N693" s="14"/>
    </row>
    <row r="694" spans="1:14" x14ac:dyDescent="0.35">
      <c r="A694" s="16" t="s">
        <v>49</v>
      </c>
      <c r="B694" s="13" t="s">
        <v>39</v>
      </c>
      <c r="C694" s="12">
        <v>44610</v>
      </c>
      <c r="D694" s="8">
        <v>24.294</v>
      </c>
      <c r="E694" s="8">
        <v>102.902</v>
      </c>
      <c r="F694" s="13"/>
      <c r="G694" s="13" t="s">
        <v>31</v>
      </c>
      <c r="H694" s="13" t="s">
        <v>40</v>
      </c>
      <c r="I694" s="13" t="s">
        <v>41</v>
      </c>
      <c r="J694" s="17">
        <f t="shared" si="10"/>
        <v>2499.9011880000003</v>
      </c>
      <c r="K694" s="15" t="s">
        <v>32</v>
      </c>
      <c r="L694" s="13"/>
      <c r="M694" s="13"/>
      <c r="N694" s="14"/>
    </row>
    <row r="695" spans="1:14" x14ac:dyDescent="0.35">
      <c r="A695" s="16" t="s">
        <v>60</v>
      </c>
      <c r="B695" s="13" t="s">
        <v>61</v>
      </c>
      <c r="C695" s="12">
        <v>44614</v>
      </c>
      <c r="D695" s="8">
        <v>45.686</v>
      </c>
      <c r="E695" s="8">
        <v>32.831000000000003</v>
      </c>
      <c r="F695" s="13"/>
      <c r="G695" s="13" t="s">
        <v>13</v>
      </c>
      <c r="H695" s="13" t="s">
        <v>62</v>
      </c>
      <c r="I695" s="13" t="s">
        <v>63</v>
      </c>
      <c r="J695" s="17">
        <f t="shared" si="10"/>
        <v>1499.9170660000002</v>
      </c>
      <c r="K695" s="15" t="s">
        <v>16</v>
      </c>
      <c r="L695" s="13"/>
      <c r="M695" s="13"/>
      <c r="N695" s="14"/>
    </row>
    <row r="696" spans="1:14" x14ac:dyDescent="0.35">
      <c r="A696" s="16">
        <v>79931510915</v>
      </c>
      <c r="B696" s="13" t="s">
        <v>39</v>
      </c>
      <c r="C696" s="12">
        <v>44614</v>
      </c>
      <c r="D696" s="8">
        <v>30.988</v>
      </c>
      <c r="E696" s="8">
        <v>96.805999999999997</v>
      </c>
      <c r="F696" s="13"/>
      <c r="G696" s="13" t="s">
        <v>38</v>
      </c>
      <c r="H696" s="13" t="s">
        <v>40</v>
      </c>
      <c r="I696" s="13" t="s">
        <v>41</v>
      </c>
      <c r="J696" s="17">
        <f t="shared" si="10"/>
        <v>2999.8243279999997</v>
      </c>
      <c r="K696" s="15" t="s">
        <v>16</v>
      </c>
      <c r="L696" s="13"/>
      <c r="M696" s="13"/>
      <c r="N696" s="14"/>
    </row>
    <row r="697" spans="1:14" x14ac:dyDescent="0.35">
      <c r="A697" s="16" t="s">
        <v>27</v>
      </c>
      <c r="B697" s="13" t="s">
        <v>56</v>
      </c>
      <c r="C697" s="12">
        <v>44622</v>
      </c>
      <c r="D697" s="8">
        <v>100.19499999999999</v>
      </c>
      <c r="E697" s="8">
        <v>9.98</v>
      </c>
      <c r="F697" s="13"/>
      <c r="G697" s="13" t="s">
        <v>13</v>
      </c>
      <c r="H697" s="13" t="s">
        <v>40</v>
      </c>
      <c r="I697" s="13" t="s">
        <v>57</v>
      </c>
      <c r="J697" s="17">
        <f t="shared" si="10"/>
        <v>999.9461</v>
      </c>
      <c r="K697" s="15" t="s">
        <v>16</v>
      </c>
      <c r="L697" s="13"/>
      <c r="M697" s="13"/>
      <c r="N697" s="14"/>
    </row>
    <row r="698" spans="1:14" x14ac:dyDescent="0.35">
      <c r="A698" s="16" t="s">
        <v>60</v>
      </c>
      <c r="B698" s="13" t="s">
        <v>61</v>
      </c>
      <c r="C698" s="12">
        <v>44622</v>
      </c>
      <c r="D698" s="8">
        <v>31.25</v>
      </c>
      <c r="E698" s="8">
        <v>31.998000000000001</v>
      </c>
      <c r="F698" s="13"/>
      <c r="G698" s="13" t="s">
        <v>13</v>
      </c>
      <c r="H698" s="13" t="s">
        <v>62</v>
      </c>
      <c r="I698" s="13" t="s">
        <v>63</v>
      </c>
      <c r="J698" s="17">
        <f t="shared" si="10"/>
        <v>999.9375</v>
      </c>
      <c r="K698" s="15" t="s">
        <v>16</v>
      </c>
      <c r="L698" s="13"/>
      <c r="M698" s="13"/>
      <c r="N698" s="14"/>
    </row>
    <row r="699" spans="1:14" x14ac:dyDescent="0.35">
      <c r="A699" s="16" t="s">
        <v>20</v>
      </c>
      <c r="B699" s="13" t="s">
        <v>34</v>
      </c>
      <c r="C699" s="12">
        <v>44622</v>
      </c>
      <c r="D699" s="8">
        <v>14.034000000000001</v>
      </c>
      <c r="E699" s="8">
        <v>142.64250000000001</v>
      </c>
      <c r="F699" s="13"/>
      <c r="G699" s="13" t="s">
        <v>13</v>
      </c>
      <c r="H699" s="13" t="s">
        <v>35</v>
      </c>
      <c r="I699" s="13" t="s">
        <v>36</v>
      </c>
      <c r="J699" s="17">
        <f t="shared" si="10"/>
        <v>2001.8448450000003</v>
      </c>
      <c r="K699" s="15" t="s">
        <v>16</v>
      </c>
      <c r="L699" s="13"/>
      <c r="M699" s="13"/>
      <c r="N699" s="14"/>
    </row>
    <row r="700" spans="1:14" x14ac:dyDescent="0.35">
      <c r="A700" s="16" t="s">
        <v>37</v>
      </c>
      <c r="B700" s="13" t="s">
        <v>25</v>
      </c>
      <c r="C700" s="12">
        <v>44630</v>
      </c>
      <c r="D700" s="8">
        <v>100.699</v>
      </c>
      <c r="E700" s="8">
        <v>49.650199999999998</v>
      </c>
      <c r="F700" s="13"/>
      <c r="G700" s="13" t="s">
        <v>38</v>
      </c>
      <c r="H700" s="13"/>
      <c r="I700" s="13" t="s">
        <v>26</v>
      </c>
      <c r="J700" s="17">
        <f t="shared" si="10"/>
        <v>4999.7254898000001</v>
      </c>
      <c r="K700" s="15" t="s">
        <v>16</v>
      </c>
      <c r="L700" s="13"/>
      <c r="M700" s="13"/>
      <c r="N700" s="14"/>
    </row>
    <row r="701" spans="1:14" x14ac:dyDescent="0.35">
      <c r="A701" s="16" t="s">
        <v>53</v>
      </c>
      <c r="B701" s="13" t="s">
        <v>54</v>
      </c>
      <c r="C701" s="12">
        <v>44631</v>
      </c>
      <c r="D701" s="8">
        <v>45.89</v>
      </c>
      <c r="E701" s="8">
        <v>65.37</v>
      </c>
      <c r="F701" s="13"/>
      <c r="G701" s="13" t="s">
        <v>38</v>
      </c>
      <c r="H701" s="13" t="s">
        <v>40</v>
      </c>
      <c r="I701" s="13" t="s">
        <v>55</v>
      </c>
      <c r="J701" s="17">
        <f t="shared" si="10"/>
        <v>2999.8293000000003</v>
      </c>
      <c r="K701" s="15" t="s">
        <v>16</v>
      </c>
      <c r="L701" s="13"/>
      <c r="M701" s="13"/>
      <c r="N701" s="14"/>
    </row>
    <row r="702" spans="1:14" x14ac:dyDescent="0.35">
      <c r="A702" s="16" t="s">
        <v>27</v>
      </c>
      <c r="B702" s="13" t="s">
        <v>56</v>
      </c>
      <c r="C702" s="12">
        <v>44631</v>
      </c>
      <c r="D702" s="8">
        <v>99.399000000000001</v>
      </c>
      <c r="E702" s="8">
        <v>10.06</v>
      </c>
      <c r="F702" s="13"/>
      <c r="G702" s="13" t="s">
        <v>13</v>
      </c>
      <c r="H702" s="13" t="s">
        <v>40</v>
      </c>
      <c r="I702" s="13" t="s">
        <v>57</v>
      </c>
      <c r="J702" s="17">
        <f t="shared" si="10"/>
        <v>999.9539400000001</v>
      </c>
      <c r="K702" s="15" t="s">
        <v>16</v>
      </c>
      <c r="L702" s="13"/>
      <c r="M702" s="13"/>
      <c r="N702" s="14"/>
    </row>
    <row r="703" spans="1:14" x14ac:dyDescent="0.35">
      <c r="A703" s="16">
        <v>79931510915</v>
      </c>
      <c r="B703" s="13" t="s">
        <v>39</v>
      </c>
      <c r="C703" s="12">
        <v>44631</v>
      </c>
      <c r="D703" s="8">
        <v>20.024999999999999</v>
      </c>
      <c r="E703" s="8">
        <v>99.867999999999995</v>
      </c>
      <c r="F703" s="13"/>
      <c r="G703" s="13" t="s">
        <v>38</v>
      </c>
      <c r="H703" s="13" t="s">
        <v>40</v>
      </c>
      <c r="I703" s="13" t="s">
        <v>41</v>
      </c>
      <c r="J703" s="17">
        <f t="shared" si="10"/>
        <v>1999.8566999999998</v>
      </c>
      <c r="K703" s="15" t="s">
        <v>16</v>
      </c>
      <c r="L703" s="13"/>
      <c r="M703" s="13"/>
      <c r="N703" s="14"/>
    </row>
    <row r="704" spans="1:14" x14ac:dyDescent="0.35">
      <c r="A704" s="16" t="s">
        <v>49</v>
      </c>
      <c r="B704" s="13" t="s">
        <v>39</v>
      </c>
      <c r="C704" s="12">
        <v>44638</v>
      </c>
      <c r="D704" s="8">
        <v>24.462</v>
      </c>
      <c r="E704" s="8">
        <v>102.196</v>
      </c>
      <c r="F704" s="13"/>
      <c r="G704" s="13" t="s">
        <v>31</v>
      </c>
      <c r="H704" s="13" t="s">
        <v>40</v>
      </c>
      <c r="I704" s="13" t="s">
        <v>41</v>
      </c>
      <c r="J704" s="17">
        <f t="shared" si="10"/>
        <v>2499.9185520000001</v>
      </c>
      <c r="K704" s="15" t="s">
        <v>32</v>
      </c>
      <c r="L704" s="13"/>
      <c r="M704" s="13"/>
      <c r="N704" s="14"/>
    </row>
    <row r="705" spans="1:14" x14ac:dyDescent="0.35">
      <c r="A705" s="16">
        <v>79931510915</v>
      </c>
      <c r="B705" s="13" t="s">
        <v>39</v>
      </c>
      <c r="C705" s="12">
        <v>44642</v>
      </c>
      <c r="D705" s="8">
        <v>29.245000000000001</v>
      </c>
      <c r="E705" s="8">
        <v>102.578</v>
      </c>
      <c r="F705" s="13"/>
      <c r="G705" s="13" t="s">
        <v>38</v>
      </c>
      <c r="H705" s="13" t="s">
        <v>40</v>
      </c>
      <c r="I705" s="13" t="s">
        <v>41</v>
      </c>
      <c r="J705" s="17">
        <f t="shared" si="10"/>
        <v>2999.8936100000001</v>
      </c>
      <c r="K705" s="15" t="s">
        <v>16</v>
      </c>
      <c r="L705" s="13"/>
      <c r="M705" s="13"/>
      <c r="N705" s="14"/>
    </row>
    <row r="706" spans="1:14" x14ac:dyDescent="0.35">
      <c r="A706" s="16" t="s">
        <v>64</v>
      </c>
      <c r="B706" s="13" t="s">
        <v>54</v>
      </c>
      <c r="C706" s="12">
        <v>44644</v>
      </c>
      <c r="D706" s="8">
        <v>74.668000000000006</v>
      </c>
      <c r="E706" s="8">
        <v>66.959999999999994</v>
      </c>
      <c r="F706" s="13"/>
      <c r="G706" s="13" t="s">
        <v>31</v>
      </c>
      <c r="H706" s="13"/>
      <c r="I706" s="13" t="s">
        <v>55</v>
      </c>
      <c r="J706" s="17">
        <f t="shared" ref="J706:J769" si="11">D706*E706</f>
        <v>4999.7692799999995</v>
      </c>
      <c r="K706" s="15" t="s">
        <v>32</v>
      </c>
      <c r="L706" s="13"/>
      <c r="M706" s="13"/>
      <c r="N706" s="14"/>
    </row>
    <row r="707" spans="1:14" x14ac:dyDescent="0.35">
      <c r="A707" s="16" t="s">
        <v>33</v>
      </c>
      <c r="B707" s="13" t="s">
        <v>25</v>
      </c>
      <c r="C707" s="12">
        <v>44649</v>
      </c>
      <c r="D707" s="8">
        <v>95.668000000000006</v>
      </c>
      <c r="E707" s="8">
        <v>52.261200000000002</v>
      </c>
      <c r="F707" s="13"/>
      <c r="G707" s="13" t="s">
        <v>31</v>
      </c>
      <c r="H707" s="13" t="s">
        <v>14</v>
      </c>
      <c r="I707" s="13" t="s">
        <v>26</v>
      </c>
      <c r="J707" s="17">
        <f t="shared" si="11"/>
        <v>4999.7244816000002</v>
      </c>
      <c r="K707" s="15" t="s">
        <v>32</v>
      </c>
      <c r="L707" s="13"/>
      <c r="M707" s="13"/>
      <c r="N707" s="14"/>
    </row>
    <row r="708" spans="1:14" x14ac:dyDescent="0.35">
      <c r="A708" s="16" t="s">
        <v>64</v>
      </c>
      <c r="B708" s="13" t="s">
        <v>54</v>
      </c>
      <c r="C708" s="12">
        <v>44649</v>
      </c>
      <c r="D708" s="8">
        <v>59.186</v>
      </c>
      <c r="E708" s="8">
        <v>67.58</v>
      </c>
      <c r="F708" s="13"/>
      <c r="G708" s="13" t="s">
        <v>31</v>
      </c>
      <c r="H708" s="13"/>
      <c r="I708" s="13" t="s">
        <v>55</v>
      </c>
      <c r="J708" s="17">
        <f t="shared" si="11"/>
        <v>3999.7898799999998</v>
      </c>
      <c r="K708" s="15" t="s">
        <v>32</v>
      </c>
      <c r="L708" s="13"/>
      <c r="M708" s="13"/>
      <c r="N708" s="14"/>
    </row>
    <row r="709" spans="1:14" x14ac:dyDescent="0.35">
      <c r="A709" s="16" t="s">
        <v>53</v>
      </c>
      <c r="B709" s="13" t="s">
        <v>54</v>
      </c>
      <c r="C709" s="12">
        <v>44662</v>
      </c>
      <c r="D709" s="8">
        <v>43.256999999999998</v>
      </c>
      <c r="E709" s="8">
        <v>69.349999999999994</v>
      </c>
      <c r="F709" s="13"/>
      <c r="G709" s="13" t="s">
        <v>38</v>
      </c>
      <c r="H709" s="13" t="s">
        <v>40</v>
      </c>
      <c r="I709" s="13" t="s">
        <v>55</v>
      </c>
      <c r="J709" s="17">
        <f t="shared" si="11"/>
        <v>2999.8729499999995</v>
      </c>
      <c r="K709" s="15" t="s">
        <v>16</v>
      </c>
      <c r="L709" s="13"/>
      <c r="M709" s="13"/>
      <c r="N709" s="14"/>
    </row>
    <row r="710" spans="1:14" x14ac:dyDescent="0.35">
      <c r="A710" s="16" t="s">
        <v>27</v>
      </c>
      <c r="B710" s="13" t="s">
        <v>56</v>
      </c>
      <c r="C710" s="12">
        <v>44662</v>
      </c>
      <c r="D710" s="8">
        <v>93.891999999999996</v>
      </c>
      <c r="E710" s="8">
        <v>10.65</v>
      </c>
      <c r="F710" s="13"/>
      <c r="G710" s="13" t="s">
        <v>13</v>
      </c>
      <c r="H710" s="13" t="s">
        <v>40</v>
      </c>
      <c r="I710" s="13" t="s">
        <v>57</v>
      </c>
      <c r="J710" s="17">
        <f t="shared" si="11"/>
        <v>999.94979999999998</v>
      </c>
      <c r="K710" s="15" t="s">
        <v>16</v>
      </c>
      <c r="L710" s="13"/>
      <c r="M710" s="13"/>
      <c r="N710" s="14"/>
    </row>
    <row r="711" spans="1:14" x14ac:dyDescent="0.35">
      <c r="A711" s="16">
        <v>79931510915</v>
      </c>
      <c r="B711" s="13" t="s">
        <v>39</v>
      </c>
      <c r="C711" s="12">
        <v>44662</v>
      </c>
      <c r="D711" s="8">
        <v>18.957000000000001</v>
      </c>
      <c r="E711" s="8">
        <v>105.494</v>
      </c>
      <c r="F711" s="13"/>
      <c r="G711" s="13" t="s">
        <v>38</v>
      </c>
      <c r="H711" s="13" t="s">
        <v>40</v>
      </c>
      <c r="I711" s="13" t="s">
        <v>41</v>
      </c>
      <c r="J711" s="17">
        <f t="shared" si="11"/>
        <v>1999.8497580000001</v>
      </c>
      <c r="K711" s="15" t="s">
        <v>16</v>
      </c>
      <c r="L711" s="13"/>
      <c r="M711" s="13"/>
      <c r="N711" s="14"/>
    </row>
    <row r="712" spans="1:14" x14ac:dyDescent="0.35">
      <c r="A712" s="16" t="s">
        <v>37</v>
      </c>
      <c r="B712" s="13" t="s">
        <v>25</v>
      </c>
      <c r="C712" s="12">
        <v>44663</v>
      </c>
      <c r="D712" s="8">
        <v>95.105000000000004</v>
      </c>
      <c r="E712" s="8">
        <v>52.570700000000002</v>
      </c>
      <c r="F712" s="13"/>
      <c r="G712" s="13" t="s">
        <v>38</v>
      </c>
      <c r="H712" s="13"/>
      <c r="I712" s="13" t="s">
        <v>26</v>
      </c>
      <c r="J712" s="17">
        <f t="shared" si="11"/>
        <v>4999.7364235000005</v>
      </c>
      <c r="K712" s="15" t="s">
        <v>16</v>
      </c>
      <c r="L712" s="13"/>
      <c r="M712" s="13"/>
      <c r="N712" s="14"/>
    </row>
    <row r="713" spans="1:14" x14ac:dyDescent="0.35">
      <c r="A713" s="16" t="s">
        <v>64</v>
      </c>
      <c r="B713" s="13" t="s">
        <v>54</v>
      </c>
      <c r="C713" s="12">
        <v>44664</v>
      </c>
      <c r="D713" s="8">
        <v>36.136000000000003</v>
      </c>
      <c r="E713" s="8">
        <v>69.180000000000007</v>
      </c>
      <c r="F713" s="13"/>
      <c r="G713" s="13" t="s">
        <v>31</v>
      </c>
      <c r="H713" s="13"/>
      <c r="I713" s="13" t="s">
        <v>55</v>
      </c>
      <c r="J713" s="17">
        <f t="shared" si="11"/>
        <v>2499.8884800000005</v>
      </c>
      <c r="K713" s="15" t="s">
        <v>32</v>
      </c>
      <c r="L713" s="13"/>
      <c r="M713" s="13"/>
      <c r="N713" s="14"/>
    </row>
    <row r="714" spans="1:14" x14ac:dyDescent="0.35">
      <c r="A714" s="16" t="s">
        <v>49</v>
      </c>
      <c r="B714" s="13" t="s">
        <v>39</v>
      </c>
      <c r="C714" s="12">
        <v>44669</v>
      </c>
      <c r="D714" s="8">
        <v>24.071999999999999</v>
      </c>
      <c r="E714" s="8">
        <v>103.852</v>
      </c>
      <c r="F714" s="13"/>
      <c r="G714" s="13" t="s">
        <v>31</v>
      </c>
      <c r="H714" s="13" t="s">
        <v>40</v>
      </c>
      <c r="I714" s="13" t="s">
        <v>41</v>
      </c>
      <c r="J714" s="17">
        <f t="shared" si="11"/>
        <v>2499.9253440000002</v>
      </c>
      <c r="K714" s="15" t="s">
        <v>32</v>
      </c>
      <c r="L714" s="13"/>
      <c r="M714" s="13"/>
      <c r="N714" s="14"/>
    </row>
    <row r="715" spans="1:14" x14ac:dyDescent="0.35">
      <c r="A715" s="16">
        <v>79931510915</v>
      </c>
      <c r="B715" s="13" t="s">
        <v>39</v>
      </c>
      <c r="C715" s="12">
        <v>44673</v>
      </c>
      <c r="D715" s="8">
        <v>29.356000000000002</v>
      </c>
      <c r="E715" s="8">
        <v>102.18899999999999</v>
      </c>
      <c r="F715" s="13"/>
      <c r="G715" s="13" t="s">
        <v>38</v>
      </c>
      <c r="H715" s="13" t="s">
        <v>40</v>
      </c>
      <c r="I715" s="13" t="s">
        <v>41</v>
      </c>
      <c r="J715" s="17">
        <f t="shared" si="11"/>
        <v>2999.8602839999999</v>
      </c>
      <c r="K715" s="15" t="s">
        <v>16</v>
      </c>
      <c r="L715" s="13"/>
      <c r="M715" s="13"/>
      <c r="N715" s="14"/>
    </row>
    <row r="716" spans="1:14" x14ac:dyDescent="0.35">
      <c r="A716" s="16" t="s">
        <v>53</v>
      </c>
      <c r="B716" s="13" t="s">
        <v>54</v>
      </c>
      <c r="C716" s="12">
        <v>44692</v>
      </c>
      <c r="D716" s="8">
        <v>48.793999999999997</v>
      </c>
      <c r="E716" s="8">
        <v>61.48</v>
      </c>
      <c r="F716" s="13"/>
      <c r="G716" s="13" t="s">
        <v>38</v>
      </c>
      <c r="H716" s="13" t="s">
        <v>40</v>
      </c>
      <c r="I716" s="13" t="s">
        <v>55</v>
      </c>
      <c r="J716" s="17">
        <f t="shared" si="11"/>
        <v>2999.8551199999997</v>
      </c>
      <c r="K716" s="15" t="s">
        <v>16</v>
      </c>
      <c r="L716" s="13"/>
      <c r="M716" s="13"/>
      <c r="N716" s="14"/>
    </row>
    <row r="717" spans="1:14" x14ac:dyDescent="0.35">
      <c r="A717" s="16" t="s">
        <v>27</v>
      </c>
      <c r="B717" s="13" t="s">
        <v>56</v>
      </c>
      <c r="C717" s="12">
        <v>44692</v>
      </c>
      <c r="D717" s="8">
        <v>103.514</v>
      </c>
      <c r="E717" s="8">
        <v>9.66</v>
      </c>
      <c r="F717" s="13"/>
      <c r="G717" s="13" t="s">
        <v>13</v>
      </c>
      <c r="H717" s="13" t="s">
        <v>40</v>
      </c>
      <c r="I717" s="13" t="s">
        <v>57</v>
      </c>
      <c r="J717" s="17">
        <f t="shared" si="11"/>
        <v>999.94524000000001</v>
      </c>
      <c r="K717" s="15" t="s">
        <v>16</v>
      </c>
      <c r="L717" s="13"/>
      <c r="M717" s="13"/>
      <c r="N717" s="14"/>
    </row>
    <row r="718" spans="1:14" x14ac:dyDescent="0.35">
      <c r="A718" s="16">
        <v>79931510915</v>
      </c>
      <c r="B718" s="13" t="s">
        <v>39</v>
      </c>
      <c r="C718" s="12">
        <v>44692</v>
      </c>
      <c r="D718" s="8">
        <v>21.276</v>
      </c>
      <c r="E718" s="8">
        <v>93.997</v>
      </c>
      <c r="F718" s="13"/>
      <c r="G718" s="13" t="s">
        <v>38</v>
      </c>
      <c r="H718" s="13" t="s">
        <v>40</v>
      </c>
      <c r="I718" s="13" t="s">
        <v>41</v>
      </c>
      <c r="J718" s="17">
        <f t="shared" si="11"/>
        <v>1999.8801719999999</v>
      </c>
      <c r="K718" s="15" t="s">
        <v>16</v>
      </c>
      <c r="L718" s="13"/>
      <c r="M718" s="13"/>
      <c r="N718" s="14"/>
    </row>
    <row r="719" spans="1:14" x14ac:dyDescent="0.35">
      <c r="A719" s="16" t="s">
        <v>37</v>
      </c>
      <c r="B719" s="13" t="s">
        <v>25</v>
      </c>
      <c r="C719" s="12">
        <v>44693</v>
      </c>
      <c r="D719" s="8">
        <v>106.33199999999999</v>
      </c>
      <c r="E719" s="8">
        <v>47.020099999999999</v>
      </c>
      <c r="F719" s="13"/>
      <c r="G719" s="13" t="s">
        <v>38</v>
      </c>
      <c r="H719" s="13"/>
      <c r="I719" s="13" t="s">
        <v>26</v>
      </c>
      <c r="J719" s="17">
        <f t="shared" si="11"/>
        <v>4999.7412731999993</v>
      </c>
      <c r="K719" s="15" t="s">
        <v>16</v>
      </c>
      <c r="L719" s="13"/>
      <c r="M719" s="13"/>
      <c r="N719" s="14"/>
    </row>
    <row r="720" spans="1:14" x14ac:dyDescent="0.35">
      <c r="A720" s="16" t="s">
        <v>49</v>
      </c>
      <c r="B720" s="13" t="s">
        <v>39</v>
      </c>
      <c r="C720" s="12">
        <v>44699</v>
      </c>
      <c r="D720" s="8">
        <v>25.864999999999998</v>
      </c>
      <c r="E720" s="8">
        <v>96.65</v>
      </c>
      <c r="F720" s="13"/>
      <c r="G720" s="13" t="s">
        <v>31</v>
      </c>
      <c r="H720" s="13" t="s">
        <v>40</v>
      </c>
      <c r="I720" s="13" t="s">
        <v>41</v>
      </c>
      <c r="J720" s="17">
        <f t="shared" si="11"/>
        <v>2499.8522499999999</v>
      </c>
      <c r="K720" s="15" t="s">
        <v>32</v>
      </c>
      <c r="L720" s="13"/>
      <c r="M720" s="13"/>
      <c r="N720" s="14"/>
    </row>
    <row r="721" spans="1:14" x14ac:dyDescent="0.35">
      <c r="A721" s="16">
        <v>79931510915</v>
      </c>
      <c r="B721" s="13" t="s">
        <v>39</v>
      </c>
      <c r="C721" s="12">
        <v>44704</v>
      </c>
      <c r="D721" s="8">
        <v>31.266999999999999</v>
      </c>
      <c r="E721" s="8">
        <v>95.942999999999998</v>
      </c>
      <c r="F721" s="13"/>
      <c r="G721" s="13" t="s">
        <v>38</v>
      </c>
      <c r="H721" s="13" t="s">
        <v>40</v>
      </c>
      <c r="I721" s="13" t="s">
        <v>41</v>
      </c>
      <c r="J721" s="17">
        <f t="shared" si="11"/>
        <v>2999.8497809999999</v>
      </c>
      <c r="K721" s="15" t="s">
        <v>16</v>
      </c>
      <c r="L721" s="13"/>
      <c r="M721" s="13"/>
      <c r="N721" s="14"/>
    </row>
    <row r="722" spans="1:14" x14ac:dyDescent="0.35">
      <c r="A722" s="16" t="s">
        <v>64</v>
      </c>
      <c r="B722" s="13" t="s">
        <v>54</v>
      </c>
      <c r="C722" s="12">
        <v>44720</v>
      </c>
      <c r="D722" s="8">
        <v>78.674000000000007</v>
      </c>
      <c r="E722" s="8">
        <v>63.55</v>
      </c>
      <c r="F722" s="13"/>
      <c r="G722" s="13" t="s">
        <v>31</v>
      </c>
      <c r="H722" s="13"/>
      <c r="I722" s="13" t="s">
        <v>55</v>
      </c>
      <c r="J722" s="17">
        <f t="shared" si="11"/>
        <v>4999.7327000000005</v>
      </c>
      <c r="K722" s="15" t="s">
        <v>32</v>
      </c>
      <c r="L722" s="13"/>
      <c r="M722" s="13"/>
      <c r="N722" s="14"/>
    </row>
    <row r="723" spans="1:14" x14ac:dyDescent="0.35">
      <c r="A723" s="16" t="s">
        <v>27</v>
      </c>
      <c r="B723" s="13" t="s">
        <v>56</v>
      </c>
      <c r="C723" s="12">
        <v>44723</v>
      </c>
      <c r="D723" s="8">
        <v>101.312</v>
      </c>
      <c r="E723" s="8">
        <v>9.8699999999999992</v>
      </c>
      <c r="F723" s="13"/>
      <c r="G723" s="13" t="s">
        <v>13</v>
      </c>
      <c r="H723" s="13" t="s">
        <v>40</v>
      </c>
      <c r="I723" s="13" t="s">
        <v>57</v>
      </c>
      <c r="J723" s="17">
        <f t="shared" si="11"/>
        <v>999.94943999999987</v>
      </c>
      <c r="K723" s="15" t="s">
        <v>16</v>
      </c>
      <c r="L723" s="13"/>
      <c r="M723" s="13"/>
      <c r="N723" s="14"/>
    </row>
    <row r="724" spans="1:14" x14ac:dyDescent="0.35">
      <c r="A724" s="16" t="s">
        <v>53</v>
      </c>
      <c r="B724" s="13" t="s">
        <v>54</v>
      </c>
      <c r="C724" s="12">
        <v>44725</v>
      </c>
      <c r="D724" s="8">
        <v>48.439</v>
      </c>
      <c r="E724" s="8">
        <v>61.93</v>
      </c>
      <c r="F724" s="13"/>
      <c r="G724" s="13" t="s">
        <v>38</v>
      </c>
      <c r="H724" s="13" t="s">
        <v>40</v>
      </c>
      <c r="I724" s="13" t="s">
        <v>55</v>
      </c>
      <c r="J724" s="17">
        <f t="shared" si="11"/>
        <v>2999.8272699999998</v>
      </c>
      <c r="K724" s="15" t="s">
        <v>16</v>
      </c>
      <c r="L724" s="13"/>
      <c r="M724" s="13"/>
      <c r="N724" s="14"/>
    </row>
    <row r="725" spans="1:14" x14ac:dyDescent="0.35">
      <c r="A725" s="16">
        <v>79931510915</v>
      </c>
      <c r="B725" s="13" t="s">
        <v>39</v>
      </c>
      <c r="C725" s="12">
        <v>44725</v>
      </c>
      <c r="D725" s="8">
        <v>21.282</v>
      </c>
      <c r="E725" s="8">
        <v>93.972999999999999</v>
      </c>
      <c r="F725" s="13"/>
      <c r="G725" s="13" t="s">
        <v>38</v>
      </c>
      <c r="H725" s="13" t="s">
        <v>40</v>
      </c>
      <c r="I725" s="13" t="s">
        <v>41</v>
      </c>
      <c r="J725" s="17">
        <f t="shared" si="11"/>
        <v>1999.9333859999999</v>
      </c>
      <c r="K725" s="15" t="s">
        <v>16</v>
      </c>
      <c r="L725" s="13"/>
      <c r="M725" s="13"/>
      <c r="N725" s="14"/>
    </row>
    <row r="726" spans="1:14" x14ac:dyDescent="0.35">
      <c r="A726" s="16" t="s">
        <v>37</v>
      </c>
      <c r="B726" s="13" t="s">
        <v>25</v>
      </c>
      <c r="C726" s="12">
        <v>44725</v>
      </c>
      <c r="D726" s="8">
        <v>106.336</v>
      </c>
      <c r="E726" s="8">
        <v>47.018599999999999</v>
      </c>
      <c r="F726" s="13"/>
      <c r="G726" s="13" t="s">
        <v>38</v>
      </c>
      <c r="H726" s="13"/>
      <c r="I726" s="13" t="s">
        <v>26</v>
      </c>
      <c r="J726" s="17">
        <f t="shared" si="11"/>
        <v>4999.7698496000003</v>
      </c>
      <c r="K726" s="15" t="s">
        <v>16</v>
      </c>
      <c r="L726" s="13"/>
      <c r="M726" s="13"/>
      <c r="N726" s="14"/>
    </row>
    <row r="727" spans="1:14" x14ac:dyDescent="0.35">
      <c r="A727" s="16" t="s">
        <v>49</v>
      </c>
      <c r="B727" s="13" t="s">
        <v>39</v>
      </c>
      <c r="C727" s="12">
        <v>44732</v>
      </c>
      <c r="D727" s="8">
        <v>26.937999999999999</v>
      </c>
      <c r="E727" s="8">
        <v>92.8</v>
      </c>
      <c r="F727" s="13"/>
      <c r="G727" s="13" t="s">
        <v>31</v>
      </c>
      <c r="H727" s="13" t="s">
        <v>40</v>
      </c>
      <c r="I727" s="13" t="s">
        <v>41</v>
      </c>
      <c r="J727" s="17">
        <f t="shared" si="11"/>
        <v>2499.8463999999999</v>
      </c>
      <c r="K727" s="15" t="s">
        <v>32</v>
      </c>
      <c r="L727" s="13"/>
      <c r="M727" s="13"/>
      <c r="N727" s="14"/>
    </row>
    <row r="728" spans="1:14" x14ac:dyDescent="0.35">
      <c r="A728" s="16">
        <v>79931510915</v>
      </c>
      <c r="B728" s="13" t="s">
        <v>39</v>
      </c>
      <c r="C728" s="12">
        <v>44735</v>
      </c>
      <c r="D728" s="8">
        <v>31.956</v>
      </c>
      <c r="E728" s="8">
        <v>93.873000000000005</v>
      </c>
      <c r="F728" s="13"/>
      <c r="G728" s="13" t="s">
        <v>38</v>
      </c>
      <c r="H728" s="13" t="s">
        <v>40</v>
      </c>
      <c r="I728" s="13" t="s">
        <v>41</v>
      </c>
      <c r="J728" s="17">
        <f t="shared" si="11"/>
        <v>2999.8055880000002</v>
      </c>
      <c r="K728" s="15" t="s">
        <v>16</v>
      </c>
      <c r="L728" s="13"/>
      <c r="M728" s="13"/>
      <c r="N728" s="14"/>
    </row>
    <row r="729" spans="1:14" x14ac:dyDescent="0.35">
      <c r="A729" s="16" t="s">
        <v>53</v>
      </c>
      <c r="B729" s="13" t="s">
        <v>54</v>
      </c>
      <c r="C729" s="12">
        <v>44753</v>
      </c>
      <c r="D729" s="8">
        <v>46.923999999999999</v>
      </c>
      <c r="E729" s="8">
        <v>63.93</v>
      </c>
      <c r="F729" s="13"/>
      <c r="G729" s="13" t="s">
        <v>38</v>
      </c>
      <c r="H729" s="13" t="s">
        <v>40</v>
      </c>
      <c r="I729" s="13" t="s">
        <v>55</v>
      </c>
      <c r="J729" s="17">
        <f t="shared" si="11"/>
        <v>2999.8513199999998</v>
      </c>
      <c r="K729" s="15" t="s">
        <v>16</v>
      </c>
      <c r="L729" s="13"/>
      <c r="M729" s="13"/>
      <c r="N729" s="14"/>
    </row>
    <row r="730" spans="1:14" x14ac:dyDescent="0.35">
      <c r="A730" s="16" t="s">
        <v>27</v>
      </c>
      <c r="B730" s="13" t="s">
        <v>56</v>
      </c>
      <c r="C730" s="12">
        <v>44753</v>
      </c>
      <c r="D730" s="8">
        <v>98.712000000000003</v>
      </c>
      <c r="E730" s="8">
        <v>10.130000000000001</v>
      </c>
      <c r="F730" s="13"/>
      <c r="G730" s="13" t="s">
        <v>13</v>
      </c>
      <c r="H730" s="13" t="s">
        <v>40</v>
      </c>
      <c r="I730" s="13" t="s">
        <v>57</v>
      </c>
      <c r="J730" s="17">
        <f t="shared" si="11"/>
        <v>999.95256000000006</v>
      </c>
      <c r="K730" s="15" t="s">
        <v>16</v>
      </c>
      <c r="L730" s="13"/>
      <c r="M730" s="13"/>
      <c r="N730" s="14"/>
    </row>
    <row r="731" spans="1:14" x14ac:dyDescent="0.35">
      <c r="A731" s="16">
        <v>79931510915</v>
      </c>
      <c r="B731" s="13" t="s">
        <v>39</v>
      </c>
      <c r="C731" s="12">
        <v>44753</v>
      </c>
      <c r="D731" s="8">
        <v>20.535</v>
      </c>
      <c r="E731" s="8">
        <v>97.39</v>
      </c>
      <c r="F731" s="13"/>
      <c r="G731" s="13" t="s">
        <v>38</v>
      </c>
      <c r="H731" s="13" t="s">
        <v>40</v>
      </c>
      <c r="I731" s="13" t="s">
        <v>41</v>
      </c>
      <c r="J731" s="17">
        <f t="shared" si="11"/>
        <v>1999.90365</v>
      </c>
      <c r="K731" s="15" t="s">
        <v>16</v>
      </c>
      <c r="L731" s="13"/>
      <c r="M731" s="13"/>
      <c r="N731" s="14"/>
    </row>
    <row r="732" spans="1:14" x14ac:dyDescent="0.35">
      <c r="A732" s="16" t="s">
        <v>37</v>
      </c>
      <c r="B732" s="13" t="s">
        <v>25</v>
      </c>
      <c r="C732" s="12">
        <v>44755</v>
      </c>
      <c r="D732" s="8">
        <v>104.22499999999999</v>
      </c>
      <c r="E732" s="8">
        <v>47.970799999999997</v>
      </c>
      <c r="F732" s="13"/>
      <c r="G732" s="13" t="s">
        <v>38</v>
      </c>
      <c r="H732" s="13"/>
      <c r="I732" s="13" t="s">
        <v>26</v>
      </c>
      <c r="J732" s="17">
        <f t="shared" si="11"/>
        <v>4999.7566299999999</v>
      </c>
      <c r="K732" s="15" t="s">
        <v>16</v>
      </c>
      <c r="L732" s="13"/>
      <c r="M732" s="13"/>
      <c r="N732" s="14"/>
    </row>
    <row r="733" spans="1:14" x14ac:dyDescent="0.35">
      <c r="A733" s="16" t="s">
        <v>49</v>
      </c>
      <c r="B733" s="13" t="s">
        <v>39</v>
      </c>
      <c r="C733" s="12">
        <v>44760</v>
      </c>
      <c r="D733" s="8">
        <v>24.978999999999999</v>
      </c>
      <c r="E733" s="8">
        <v>100.078</v>
      </c>
      <c r="F733" s="13"/>
      <c r="G733" s="13" t="s">
        <v>31</v>
      </c>
      <c r="H733" s="13" t="s">
        <v>40</v>
      </c>
      <c r="I733" s="13" t="s">
        <v>41</v>
      </c>
      <c r="J733" s="17">
        <f t="shared" si="11"/>
        <v>2499.8483620000002</v>
      </c>
      <c r="K733" s="15" t="s">
        <v>32</v>
      </c>
      <c r="L733" s="13"/>
      <c r="M733" s="13"/>
      <c r="N733" s="14"/>
    </row>
    <row r="734" spans="1:14" x14ac:dyDescent="0.35">
      <c r="A734" s="16">
        <v>79931510915</v>
      </c>
      <c r="B734" s="13" t="s">
        <v>39</v>
      </c>
      <c r="C734" s="12">
        <v>44764</v>
      </c>
      <c r="D734" s="8">
        <v>29.715</v>
      </c>
      <c r="E734" s="8">
        <v>100.95399999999999</v>
      </c>
      <c r="F734" s="13"/>
      <c r="G734" s="13" t="s">
        <v>38</v>
      </c>
      <c r="H734" s="13" t="s">
        <v>40</v>
      </c>
      <c r="I734" s="13" t="s">
        <v>41</v>
      </c>
      <c r="J734" s="17">
        <f t="shared" si="11"/>
        <v>2999.8481099999999</v>
      </c>
      <c r="K734" s="15" t="s">
        <v>16</v>
      </c>
      <c r="L734" s="13"/>
      <c r="M734" s="13"/>
      <c r="N734" s="14"/>
    </row>
    <row r="735" spans="1:14" x14ac:dyDescent="0.35">
      <c r="A735" s="16" t="s">
        <v>65</v>
      </c>
      <c r="B735" s="13" t="s">
        <v>54</v>
      </c>
      <c r="C735" s="12">
        <v>44775</v>
      </c>
      <c r="D735" s="8">
        <v>67.69</v>
      </c>
      <c r="E735" s="8">
        <v>73.861999999999995</v>
      </c>
      <c r="F735" s="13"/>
      <c r="G735" s="13" t="s">
        <v>38</v>
      </c>
      <c r="H735" s="13" t="s">
        <v>66</v>
      </c>
      <c r="I735" s="13" t="s">
        <v>55</v>
      </c>
      <c r="J735" s="17">
        <f t="shared" si="11"/>
        <v>4999.7187799999992</v>
      </c>
      <c r="K735" s="15" t="s">
        <v>16</v>
      </c>
      <c r="L735" s="13"/>
      <c r="M735" s="13"/>
      <c r="N735" s="14"/>
    </row>
    <row r="736" spans="1:14" x14ac:dyDescent="0.35">
      <c r="A736" s="16" t="s">
        <v>33</v>
      </c>
      <c r="B736" s="13" t="s">
        <v>25</v>
      </c>
      <c r="C736" s="12">
        <v>44775</v>
      </c>
      <c r="D736" s="8">
        <v>98.722999999999999</v>
      </c>
      <c r="E736" s="8">
        <v>50.644199999999998</v>
      </c>
      <c r="F736" s="13"/>
      <c r="G736" s="13" t="s">
        <v>31</v>
      </c>
      <c r="H736" s="13" t="s">
        <v>14</v>
      </c>
      <c r="I736" s="13" t="s">
        <v>26</v>
      </c>
      <c r="J736" s="17">
        <f t="shared" si="11"/>
        <v>4999.7473565999999</v>
      </c>
      <c r="K736" s="15" t="s">
        <v>32</v>
      </c>
      <c r="L736" s="13"/>
      <c r="M736" s="13"/>
      <c r="N736" s="14"/>
    </row>
    <row r="737" spans="1:14" x14ac:dyDescent="0.35">
      <c r="A737" s="16" t="s">
        <v>64</v>
      </c>
      <c r="B737" s="13" t="s">
        <v>54</v>
      </c>
      <c r="C737" s="12">
        <v>44775</v>
      </c>
      <c r="D737" s="8">
        <v>96.021000000000001</v>
      </c>
      <c r="E737" s="8">
        <v>67.69</v>
      </c>
      <c r="F737" s="13"/>
      <c r="G737" s="13" t="s">
        <v>31</v>
      </c>
      <c r="H737" s="13"/>
      <c r="I737" s="13" t="s">
        <v>55</v>
      </c>
      <c r="J737" s="17">
        <f t="shared" si="11"/>
        <v>6499.6614899999995</v>
      </c>
      <c r="K737" s="15" t="s">
        <v>32</v>
      </c>
      <c r="L737" s="13"/>
      <c r="M737" s="13"/>
      <c r="N737" s="14"/>
    </row>
    <row r="738" spans="1:14" x14ac:dyDescent="0.35">
      <c r="A738" s="16" t="s">
        <v>67</v>
      </c>
      <c r="B738" s="13" t="s">
        <v>54</v>
      </c>
      <c r="C738" s="12">
        <v>44776</v>
      </c>
      <c r="D738" s="8">
        <v>73.960999999999999</v>
      </c>
      <c r="E738" s="8">
        <v>67.599999999999994</v>
      </c>
      <c r="F738" s="13"/>
      <c r="G738" s="13" t="s">
        <v>38</v>
      </c>
      <c r="H738" s="13" t="s">
        <v>68</v>
      </c>
      <c r="I738" s="13" t="s">
        <v>55</v>
      </c>
      <c r="J738" s="17">
        <f t="shared" si="11"/>
        <v>4999.7635999999993</v>
      </c>
      <c r="K738" s="15" t="s">
        <v>16</v>
      </c>
      <c r="L738" s="13"/>
      <c r="M738" s="13"/>
      <c r="N738" s="14"/>
    </row>
    <row r="739" spans="1:14" x14ac:dyDescent="0.35">
      <c r="A739" s="16" t="s">
        <v>64</v>
      </c>
      <c r="B739" s="13" t="s">
        <v>54</v>
      </c>
      <c r="C739" s="12">
        <v>44776</v>
      </c>
      <c r="D739" s="8">
        <v>73.960999999999999</v>
      </c>
      <c r="E739" s="8">
        <v>67.599999999999994</v>
      </c>
      <c r="F739" s="13"/>
      <c r="G739" s="13" t="s">
        <v>31</v>
      </c>
      <c r="H739" s="13"/>
      <c r="I739" s="13" t="s">
        <v>55</v>
      </c>
      <c r="J739" s="17">
        <f t="shared" si="11"/>
        <v>4999.7635999999993</v>
      </c>
      <c r="K739" s="15" t="s">
        <v>32</v>
      </c>
      <c r="L739" s="13"/>
      <c r="M739" s="13"/>
      <c r="N739" s="14"/>
    </row>
    <row r="740" spans="1:14" x14ac:dyDescent="0.35">
      <c r="A740" s="16" t="s">
        <v>53</v>
      </c>
      <c r="B740" s="13" t="s">
        <v>54</v>
      </c>
      <c r="C740" s="12">
        <v>44777</v>
      </c>
      <c r="D740" s="8">
        <v>221.09699999999998</v>
      </c>
      <c r="E740" s="8">
        <v>67.84</v>
      </c>
      <c r="F740" s="13"/>
      <c r="G740" s="13" t="s">
        <v>38</v>
      </c>
      <c r="H740" s="13" t="s">
        <v>40</v>
      </c>
      <c r="I740" s="13" t="s">
        <v>55</v>
      </c>
      <c r="J740" s="17">
        <f t="shared" si="11"/>
        <v>14999.22048</v>
      </c>
      <c r="K740" s="15" t="s">
        <v>16</v>
      </c>
      <c r="L740" s="13"/>
      <c r="M740" s="13"/>
      <c r="N740" s="14"/>
    </row>
    <row r="741" spans="1:14" x14ac:dyDescent="0.35">
      <c r="A741" s="16" t="s">
        <v>64</v>
      </c>
      <c r="B741" s="13" t="s">
        <v>54</v>
      </c>
      <c r="C741" s="12">
        <v>44777</v>
      </c>
      <c r="D741" s="8">
        <v>73.698999999999998</v>
      </c>
      <c r="E741" s="8">
        <v>67.84</v>
      </c>
      <c r="F741" s="13"/>
      <c r="G741" s="13" t="s">
        <v>31</v>
      </c>
      <c r="H741" s="13"/>
      <c r="I741" s="13" t="s">
        <v>55</v>
      </c>
      <c r="J741" s="17">
        <f t="shared" si="11"/>
        <v>4999.7401600000003</v>
      </c>
      <c r="K741" s="15" t="s">
        <v>32</v>
      </c>
      <c r="L741" s="13"/>
      <c r="M741" s="13"/>
      <c r="N741" s="14"/>
    </row>
    <row r="742" spans="1:14" x14ac:dyDescent="0.35">
      <c r="A742" s="16" t="s">
        <v>64</v>
      </c>
      <c r="B742" s="13" t="s">
        <v>54</v>
      </c>
      <c r="C742" s="12">
        <v>44781</v>
      </c>
      <c r="D742" s="8">
        <v>160.97499999999999</v>
      </c>
      <c r="E742" s="8">
        <v>68.33</v>
      </c>
      <c r="F742" s="13"/>
      <c r="G742" s="13" t="s">
        <v>31</v>
      </c>
      <c r="H742" s="13"/>
      <c r="I742" s="13" t="s">
        <v>55</v>
      </c>
      <c r="J742" s="17">
        <f t="shared" si="11"/>
        <v>10999.42175</v>
      </c>
      <c r="K742" s="15" t="s">
        <v>32</v>
      </c>
      <c r="L742" s="13"/>
      <c r="M742" s="13"/>
      <c r="N742" s="14"/>
    </row>
    <row r="743" spans="1:14" x14ac:dyDescent="0.35">
      <c r="A743" s="16" t="s">
        <v>53</v>
      </c>
      <c r="B743" s="13" t="s">
        <v>54</v>
      </c>
      <c r="C743" s="12">
        <v>44784</v>
      </c>
      <c r="D743" s="8">
        <v>43.188000000000002</v>
      </c>
      <c r="E743" s="8">
        <v>69.459999999999994</v>
      </c>
      <c r="F743" s="13"/>
      <c r="G743" s="13" t="s">
        <v>38</v>
      </c>
      <c r="H743" s="13" t="s">
        <v>40</v>
      </c>
      <c r="I743" s="13" t="s">
        <v>55</v>
      </c>
      <c r="J743" s="17">
        <f t="shared" si="11"/>
        <v>2999.8384799999999</v>
      </c>
      <c r="K743" s="15" t="s">
        <v>16</v>
      </c>
      <c r="L743" s="13"/>
      <c r="M743" s="13"/>
      <c r="N743" s="14"/>
    </row>
    <row r="744" spans="1:14" x14ac:dyDescent="0.35">
      <c r="A744" s="16" t="s">
        <v>27</v>
      </c>
      <c r="B744" s="13" t="s">
        <v>56</v>
      </c>
      <c r="C744" s="12">
        <v>44784</v>
      </c>
      <c r="D744" s="8">
        <v>89.682000000000002</v>
      </c>
      <c r="E744" s="8">
        <v>11.15</v>
      </c>
      <c r="F744" s="13"/>
      <c r="G744" s="13" t="s">
        <v>13</v>
      </c>
      <c r="H744" s="13" t="s">
        <v>40</v>
      </c>
      <c r="I744" s="13" t="s">
        <v>57</v>
      </c>
      <c r="J744" s="17">
        <f t="shared" si="11"/>
        <v>999.9543000000001</v>
      </c>
      <c r="K744" s="15" t="s">
        <v>16</v>
      </c>
      <c r="L744" s="13"/>
      <c r="M744" s="13"/>
      <c r="N744" s="14"/>
    </row>
    <row r="745" spans="1:14" x14ac:dyDescent="0.35">
      <c r="A745" s="16">
        <v>79931510915</v>
      </c>
      <c r="B745" s="13" t="s">
        <v>39</v>
      </c>
      <c r="C745" s="12">
        <v>44784</v>
      </c>
      <c r="D745" s="8">
        <v>18.84</v>
      </c>
      <c r="E745" s="8">
        <v>106.152</v>
      </c>
      <c r="F745" s="13"/>
      <c r="G745" s="13" t="s">
        <v>38</v>
      </c>
      <c r="H745" s="13" t="s">
        <v>40</v>
      </c>
      <c r="I745" s="13" t="s">
        <v>41</v>
      </c>
      <c r="J745" s="17">
        <f t="shared" si="11"/>
        <v>1999.9036799999999</v>
      </c>
      <c r="K745" s="15" t="s">
        <v>16</v>
      </c>
      <c r="L745" s="13"/>
      <c r="M745" s="13"/>
      <c r="N745" s="14"/>
    </row>
    <row r="746" spans="1:14" x14ac:dyDescent="0.35">
      <c r="A746" s="16" t="s">
        <v>37</v>
      </c>
      <c r="B746" s="13" t="s">
        <v>25</v>
      </c>
      <c r="C746" s="12">
        <v>44785</v>
      </c>
      <c r="D746" s="8">
        <v>96.4</v>
      </c>
      <c r="E746" s="8">
        <v>51.864400000000003</v>
      </c>
      <c r="F746" s="13"/>
      <c r="G746" s="13" t="s">
        <v>38</v>
      </c>
      <c r="H746" s="13"/>
      <c r="I746" s="13" t="s">
        <v>26</v>
      </c>
      <c r="J746" s="17">
        <f t="shared" si="11"/>
        <v>4999.7281600000006</v>
      </c>
      <c r="K746" s="15" t="s">
        <v>16</v>
      </c>
      <c r="L746" s="13"/>
      <c r="M746" s="13"/>
      <c r="N746" s="14"/>
    </row>
    <row r="747" spans="1:14" x14ac:dyDescent="0.35">
      <c r="A747" s="16" t="s">
        <v>64</v>
      </c>
      <c r="B747" s="13" t="s">
        <v>54</v>
      </c>
      <c r="C747" s="12">
        <v>44790</v>
      </c>
      <c r="D747" s="8">
        <v>71.846000000000004</v>
      </c>
      <c r="E747" s="8">
        <v>69.59</v>
      </c>
      <c r="F747" s="13"/>
      <c r="G747" s="13" t="s">
        <v>31</v>
      </c>
      <c r="H747" s="13"/>
      <c r="I747" s="13" t="s">
        <v>55</v>
      </c>
      <c r="J747" s="17">
        <f t="shared" si="11"/>
        <v>4999.7631400000009</v>
      </c>
      <c r="K747" s="15" t="s">
        <v>32</v>
      </c>
      <c r="L747" s="13"/>
      <c r="M747" s="13"/>
      <c r="N747" s="14"/>
    </row>
    <row r="748" spans="1:14" x14ac:dyDescent="0.35">
      <c r="A748" s="16" t="s">
        <v>49</v>
      </c>
      <c r="B748" s="13" t="s">
        <v>39</v>
      </c>
      <c r="C748" s="12">
        <v>44791</v>
      </c>
      <c r="D748" s="8">
        <v>23.928000000000001</v>
      </c>
      <c r="E748" s="8">
        <v>104.474</v>
      </c>
      <c r="F748" s="13"/>
      <c r="G748" s="13" t="s">
        <v>31</v>
      </c>
      <c r="H748" s="13" t="s">
        <v>40</v>
      </c>
      <c r="I748" s="13" t="s">
        <v>41</v>
      </c>
      <c r="J748" s="17">
        <f t="shared" si="11"/>
        <v>2499.8538720000001</v>
      </c>
      <c r="K748" s="15" t="s">
        <v>32</v>
      </c>
      <c r="L748" s="13"/>
      <c r="M748" s="13"/>
      <c r="N748" s="14"/>
    </row>
    <row r="749" spans="1:14" x14ac:dyDescent="0.35">
      <c r="A749" s="16" t="s">
        <v>64</v>
      </c>
      <c r="B749" s="13" t="s">
        <v>54</v>
      </c>
      <c r="C749" s="12">
        <v>44791</v>
      </c>
      <c r="D749" s="8">
        <v>143.44399999999999</v>
      </c>
      <c r="E749" s="8">
        <v>69.709999999999994</v>
      </c>
      <c r="F749" s="13"/>
      <c r="G749" s="13" t="s">
        <v>31</v>
      </c>
      <c r="H749" s="13"/>
      <c r="I749" s="13" t="s">
        <v>55</v>
      </c>
      <c r="J749" s="17">
        <f t="shared" si="11"/>
        <v>9999.4812399999992</v>
      </c>
      <c r="K749" s="15" t="s">
        <v>32</v>
      </c>
      <c r="L749" s="13"/>
      <c r="M749" s="13"/>
      <c r="N749" s="14"/>
    </row>
    <row r="750" spans="1:14" x14ac:dyDescent="0.35">
      <c r="A750" s="16" t="s">
        <v>65</v>
      </c>
      <c r="B750" s="13" t="s">
        <v>54</v>
      </c>
      <c r="C750" s="12">
        <v>44792</v>
      </c>
      <c r="D750" s="8">
        <v>68.95</v>
      </c>
      <c r="E750" s="8">
        <v>145.02500000000001</v>
      </c>
      <c r="F750" s="13" t="s">
        <v>58</v>
      </c>
      <c r="G750" s="13" t="s">
        <v>38</v>
      </c>
      <c r="H750" s="13" t="s">
        <v>66</v>
      </c>
      <c r="I750" s="13" t="s">
        <v>55</v>
      </c>
      <c r="J750" s="17">
        <f t="shared" si="11"/>
        <v>9999.473750000001</v>
      </c>
      <c r="K750" s="15" t="s">
        <v>16</v>
      </c>
      <c r="L750" s="13"/>
      <c r="M750" s="13"/>
      <c r="N750" s="14"/>
    </row>
    <row r="751" spans="1:14" x14ac:dyDescent="0.35">
      <c r="A751" s="16" t="s">
        <v>67</v>
      </c>
      <c r="B751" s="13" t="s">
        <v>54</v>
      </c>
      <c r="C751" s="12">
        <v>44792</v>
      </c>
      <c r="D751" s="8">
        <v>145.02500000000001</v>
      </c>
      <c r="E751" s="8">
        <v>68.95</v>
      </c>
      <c r="F751" s="13" t="s">
        <v>58</v>
      </c>
      <c r="G751" s="13" t="s">
        <v>38</v>
      </c>
      <c r="H751" s="13" t="s">
        <v>68</v>
      </c>
      <c r="I751" s="13" t="s">
        <v>55</v>
      </c>
      <c r="J751" s="17">
        <f t="shared" si="11"/>
        <v>9999.473750000001</v>
      </c>
      <c r="K751" s="15" t="s">
        <v>16</v>
      </c>
      <c r="L751" s="13"/>
      <c r="M751" s="13"/>
      <c r="N751" s="14"/>
    </row>
    <row r="752" spans="1:14" x14ac:dyDescent="0.35">
      <c r="A752" s="16" t="s">
        <v>64</v>
      </c>
      <c r="B752" s="13" t="s">
        <v>54</v>
      </c>
      <c r="C752" s="12">
        <v>44792</v>
      </c>
      <c r="D752" s="8">
        <v>435.07600000000002</v>
      </c>
      <c r="E752" s="8">
        <v>68.95</v>
      </c>
      <c r="F752" s="13"/>
      <c r="G752" s="13" t="s">
        <v>31</v>
      </c>
      <c r="H752" s="13"/>
      <c r="I752" s="13" t="s">
        <v>55</v>
      </c>
      <c r="J752" s="17">
        <f t="shared" si="11"/>
        <v>29998.490200000004</v>
      </c>
      <c r="K752" s="15" t="s">
        <v>32</v>
      </c>
      <c r="L752" s="13"/>
      <c r="M752" s="13"/>
      <c r="N752" s="14"/>
    </row>
    <row r="753" spans="1:14" x14ac:dyDescent="0.35">
      <c r="A753" s="16" t="s">
        <v>65</v>
      </c>
      <c r="B753" s="13" t="s">
        <v>54</v>
      </c>
      <c r="C753" s="12">
        <v>44795</v>
      </c>
      <c r="D753" s="8">
        <v>68.38</v>
      </c>
      <c r="E753" s="8">
        <v>219.351</v>
      </c>
      <c r="F753" s="13" t="s">
        <v>58</v>
      </c>
      <c r="G753" s="13" t="s">
        <v>38</v>
      </c>
      <c r="H753" s="13" t="s">
        <v>66</v>
      </c>
      <c r="I753" s="13" t="s">
        <v>55</v>
      </c>
      <c r="J753" s="17">
        <f t="shared" si="11"/>
        <v>14999.221379999999</v>
      </c>
      <c r="K753" s="15" t="s">
        <v>16</v>
      </c>
      <c r="L753" s="13"/>
      <c r="M753" s="13"/>
      <c r="N753" s="14"/>
    </row>
    <row r="754" spans="1:14" x14ac:dyDescent="0.35">
      <c r="A754" s="16" t="s">
        <v>67</v>
      </c>
      <c r="B754" s="13" t="s">
        <v>54</v>
      </c>
      <c r="C754" s="12">
        <v>44795</v>
      </c>
      <c r="D754" s="8">
        <v>219.351</v>
      </c>
      <c r="E754" s="8">
        <v>68.38</v>
      </c>
      <c r="F754" s="13" t="s">
        <v>58</v>
      </c>
      <c r="G754" s="13" t="s">
        <v>38</v>
      </c>
      <c r="H754" s="13" t="s">
        <v>68</v>
      </c>
      <c r="I754" s="13" t="s">
        <v>55</v>
      </c>
      <c r="J754" s="17">
        <f t="shared" si="11"/>
        <v>14999.221379999999</v>
      </c>
      <c r="K754" s="15" t="s">
        <v>16</v>
      </c>
      <c r="L754" s="13"/>
      <c r="M754" s="13"/>
      <c r="N754" s="14"/>
    </row>
    <row r="755" spans="1:14" x14ac:dyDescent="0.35">
      <c r="A755" s="16">
        <v>79931510915</v>
      </c>
      <c r="B755" s="13" t="s">
        <v>39</v>
      </c>
      <c r="C755" s="12">
        <v>44795</v>
      </c>
      <c r="D755" s="8">
        <v>28.463999999999999</v>
      </c>
      <c r="E755" s="8">
        <v>105.392</v>
      </c>
      <c r="F755" s="13"/>
      <c r="G755" s="13" t="s">
        <v>38</v>
      </c>
      <c r="H755" s="13" t="s">
        <v>40</v>
      </c>
      <c r="I755" s="13" t="s">
        <v>41</v>
      </c>
      <c r="J755" s="17">
        <f t="shared" si="11"/>
        <v>2999.8778879999995</v>
      </c>
      <c r="K755" s="15" t="s">
        <v>16</v>
      </c>
      <c r="L755" s="13"/>
      <c r="M755" s="13"/>
      <c r="N755" s="14"/>
    </row>
    <row r="756" spans="1:14" x14ac:dyDescent="0.35">
      <c r="A756" s="16" t="s">
        <v>65</v>
      </c>
      <c r="B756" s="13" t="s">
        <v>54</v>
      </c>
      <c r="C756" s="12">
        <v>44798</v>
      </c>
      <c r="D756" s="8">
        <v>69.239999999999995</v>
      </c>
      <c r="E756" s="8">
        <v>72.209000000000003</v>
      </c>
      <c r="F756" s="13"/>
      <c r="G756" s="13" t="s">
        <v>38</v>
      </c>
      <c r="H756" s="13" t="s">
        <v>66</v>
      </c>
      <c r="I756" s="13" t="s">
        <v>55</v>
      </c>
      <c r="J756" s="17">
        <f t="shared" si="11"/>
        <v>4999.7511599999998</v>
      </c>
      <c r="K756" s="15" t="s">
        <v>16</v>
      </c>
      <c r="L756" s="13"/>
      <c r="M756" s="13"/>
      <c r="N756" s="14"/>
    </row>
    <row r="757" spans="1:14" x14ac:dyDescent="0.35">
      <c r="A757" s="16" t="s">
        <v>67</v>
      </c>
      <c r="B757" s="13" t="s">
        <v>54</v>
      </c>
      <c r="C757" s="12">
        <v>44798</v>
      </c>
      <c r="D757" s="8">
        <v>72.209000000000003</v>
      </c>
      <c r="E757" s="8">
        <v>69.239999999999995</v>
      </c>
      <c r="F757" s="13"/>
      <c r="G757" s="13" t="s">
        <v>38</v>
      </c>
      <c r="H757" s="13" t="s">
        <v>68</v>
      </c>
      <c r="I757" s="13" t="s">
        <v>55</v>
      </c>
      <c r="J757" s="17">
        <f t="shared" si="11"/>
        <v>4999.7511599999998</v>
      </c>
      <c r="K757" s="15" t="s">
        <v>16</v>
      </c>
      <c r="L757" s="13"/>
      <c r="M757" s="13"/>
      <c r="N757" s="14"/>
    </row>
    <row r="758" spans="1:14" x14ac:dyDescent="0.35">
      <c r="A758" s="16" t="s">
        <v>53</v>
      </c>
      <c r="B758" s="13" t="s">
        <v>54</v>
      </c>
      <c r="C758" s="12">
        <v>44802</v>
      </c>
      <c r="D758" s="8">
        <v>72.281000000000006</v>
      </c>
      <c r="E758" s="8">
        <v>69.239999999999995</v>
      </c>
      <c r="F758" s="13"/>
      <c r="G758" s="13" t="s">
        <v>38</v>
      </c>
      <c r="H758" s="13" t="s">
        <v>40</v>
      </c>
      <c r="I758" s="13" t="s">
        <v>55</v>
      </c>
      <c r="J758" s="17">
        <f t="shared" si="11"/>
        <v>5004.7364399999997</v>
      </c>
      <c r="K758" s="15" t="s">
        <v>16</v>
      </c>
      <c r="L758" s="13"/>
      <c r="M758" s="13"/>
      <c r="N758" s="14"/>
    </row>
    <row r="759" spans="1:14" x14ac:dyDescent="0.35">
      <c r="A759" s="16" t="s">
        <v>65</v>
      </c>
      <c r="B759" s="13" t="s">
        <v>54</v>
      </c>
      <c r="C759" s="12">
        <v>44802</v>
      </c>
      <c r="D759" s="8">
        <v>69.239999999999995</v>
      </c>
      <c r="E759" s="8">
        <v>72.209000000000003</v>
      </c>
      <c r="F759" s="13"/>
      <c r="G759" s="13" t="s">
        <v>38</v>
      </c>
      <c r="H759" s="13" t="s">
        <v>66</v>
      </c>
      <c r="I759" s="13" t="s">
        <v>55</v>
      </c>
      <c r="J759" s="17">
        <f t="shared" si="11"/>
        <v>4999.7511599999998</v>
      </c>
      <c r="K759" s="15" t="s">
        <v>16</v>
      </c>
      <c r="L759" s="13"/>
      <c r="M759" s="13"/>
      <c r="N759" s="14"/>
    </row>
    <row r="760" spans="1:14" x14ac:dyDescent="0.35">
      <c r="A760" s="16" t="s">
        <v>67</v>
      </c>
      <c r="B760" s="13" t="s">
        <v>54</v>
      </c>
      <c r="C760" s="12">
        <v>44802</v>
      </c>
      <c r="D760" s="8">
        <v>72.209000000000003</v>
      </c>
      <c r="E760" s="8">
        <v>69.239999999999995</v>
      </c>
      <c r="F760" s="13"/>
      <c r="G760" s="13" t="s">
        <v>38</v>
      </c>
      <c r="H760" s="13" t="s">
        <v>68</v>
      </c>
      <c r="I760" s="13" t="s">
        <v>55</v>
      </c>
      <c r="J760" s="17">
        <f t="shared" si="11"/>
        <v>4999.7511599999998</v>
      </c>
      <c r="K760" s="15" t="s">
        <v>16</v>
      </c>
      <c r="L760" s="13"/>
      <c r="M760" s="13"/>
      <c r="N760" s="14"/>
    </row>
    <row r="761" spans="1:14" x14ac:dyDescent="0.35">
      <c r="A761" s="16" t="s">
        <v>65</v>
      </c>
      <c r="B761" s="13" t="s">
        <v>54</v>
      </c>
      <c r="C761" s="12">
        <v>44805</v>
      </c>
      <c r="D761" s="8">
        <v>70.42</v>
      </c>
      <c r="E761" s="8">
        <v>71.069999999999993</v>
      </c>
      <c r="F761" s="13"/>
      <c r="G761" s="13" t="s">
        <v>38</v>
      </c>
      <c r="H761" s="13" t="s">
        <v>66</v>
      </c>
      <c r="I761" s="13" t="s">
        <v>55</v>
      </c>
      <c r="J761" s="17">
        <f t="shared" si="11"/>
        <v>5004.7493999999997</v>
      </c>
      <c r="K761" s="15" t="s">
        <v>16</v>
      </c>
      <c r="L761" s="13"/>
      <c r="M761" s="13"/>
      <c r="N761" s="14"/>
    </row>
    <row r="762" spans="1:14" x14ac:dyDescent="0.35">
      <c r="A762" s="16" t="s">
        <v>67</v>
      </c>
      <c r="B762" s="13" t="s">
        <v>54</v>
      </c>
      <c r="C762" s="12">
        <v>44805</v>
      </c>
      <c r="D762" s="8">
        <v>71.069999999999993</v>
      </c>
      <c r="E762" s="8">
        <v>70.42</v>
      </c>
      <c r="F762" s="13"/>
      <c r="G762" s="13" t="s">
        <v>38</v>
      </c>
      <c r="H762" s="13" t="s">
        <v>68</v>
      </c>
      <c r="I762" s="13" t="s">
        <v>55</v>
      </c>
      <c r="J762" s="17">
        <f t="shared" si="11"/>
        <v>5004.7493999999997</v>
      </c>
      <c r="K762" s="15" t="s">
        <v>16</v>
      </c>
      <c r="L762" s="13"/>
      <c r="M762" s="13"/>
      <c r="N762" s="14"/>
    </row>
    <row r="763" spans="1:14" x14ac:dyDescent="0.35">
      <c r="A763" s="16" t="s">
        <v>27</v>
      </c>
      <c r="B763" s="13" t="s">
        <v>56</v>
      </c>
      <c r="C763" s="12">
        <v>44815</v>
      </c>
      <c r="D763" s="8">
        <v>85.832999999999998</v>
      </c>
      <c r="E763" s="8">
        <v>11.65</v>
      </c>
      <c r="F763" s="13"/>
      <c r="G763" s="13" t="s">
        <v>13</v>
      </c>
      <c r="H763" s="13" t="s">
        <v>40</v>
      </c>
      <c r="I763" s="13" t="s">
        <v>57</v>
      </c>
      <c r="J763" s="17">
        <f t="shared" si="11"/>
        <v>999.95445000000007</v>
      </c>
      <c r="K763" s="15" t="s">
        <v>16</v>
      </c>
      <c r="L763" s="13"/>
      <c r="M763" s="13"/>
      <c r="N763" s="14"/>
    </row>
    <row r="764" spans="1:14" x14ac:dyDescent="0.35">
      <c r="A764" s="16" t="s">
        <v>53</v>
      </c>
      <c r="B764" s="13" t="s">
        <v>54</v>
      </c>
      <c r="C764" s="12">
        <v>44816</v>
      </c>
      <c r="D764" s="8">
        <v>41.003999999999998</v>
      </c>
      <c r="E764" s="8">
        <v>73.16</v>
      </c>
      <c r="F764" s="13"/>
      <c r="G764" s="13" t="s">
        <v>38</v>
      </c>
      <c r="H764" s="13" t="s">
        <v>40</v>
      </c>
      <c r="I764" s="13" t="s">
        <v>55</v>
      </c>
      <c r="J764" s="17">
        <f t="shared" si="11"/>
        <v>2999.8526399999996</v>
      </c>
      <c r="K764" s="15" t="s">
        <v>16</v>
      </c>
      <c r="L764" s="13"/>
      <c r="M764" s="13"/>
      <c r="N764" s="14"/>
    </row>
    <row r="765" spans="1:14" x14ac:dyDescent="0.35">
      <c r="A765" s="16">
        <v>79931510915</v>
      </c>
      <c r="B765" s="13" t="s">
        <v>39</v>
      </c>
      <c r="C765" s="12">
        <v>44816</v>
      </c>
      <c r="D765" s="8">
        <v>18.504999999999999</v>
      </c>
      <c r="E765" s="8">
        <v>108.072</v>
      </c>
      <c r="F765" s="13"/>
      <c r="G765" s="13" t="s">
        <v>38</v>
      </c>
      <c r="H765" s="13" t="s">
        <v>40</v>
      </c>
      <c r="I765" s="13" t="s">
        <v>41</v>
      </c>
      <c r="J765" s="17">
        <f t="shared" si="11"/>
        <v>1999.8723599999998</v>
      </c>
      <c r="K765" s="15" t="s">
        <v>16</v>
      </c>
      <c r="L765" s="13"/>
      <c r="M765" s="13"/>
      <c r="N765" s="14"/>
    </row>
    <row r="766" spans="1:14" x14ac:dyDescent="0.35">
      <c r="A766" s="16" t="s">
        <v>37</v>
      </c>
      <c r="B766" s="13" t="s">
        <v>25</v>
      </c>
      <c r="C766" s="12">
        <v>44816</v>
      </c>
      <c r="D766" s="8">
        <v>94.646000000000001</v>
      </c>
      <c r="E766" s="8">
        <v>52.825800000000001</v>
      </c>
      <c r="F766" s="13"/>
      <c r="G766" s="13" t="s">
        <v>38</v>
      </c>
      <c r="H766" s="13"/>
      <c r="I766" s="13" t="s">
        <v>26</v>
      </c>
      <c r="J766" s="17">
        <f t="shared" si="11"/>
        <v>4999.7506668000005</v>
      </c>
      <c r="K766" s="15" t="s">
        <v>16</v>
      </c>
      <c r="L766" s="13"/>
      <c r="M766" s="13"/>
      <c r="N766" s="14"/>
    </row>
    <row r="767" spans="1:14" x14ac:dyDescent="0.35">
      <c r="A767" s="16" t="s">
        <v>69</v>
      </c>
      <c r="B767" s="13" t="s">
        <v>54</v>
      </c>
      <c r="C767" s="12">
        <v>44819</v>
      </c>
      <c r="D767" s="8">
        <v>822.553</v>
      </c>
      <c r="E767" s="8">
        <v>72.94</v>
      </c>
      <c r="F767" s="13"/>
      <c r="G767" s="13" t="s">
        <v>13</v>
      </c>
      <c r="H767" s="13" t="s">
        <v>70</v>
      </c>
      <c r="I767" s="13" t="s">
        <v>55</v>
      </c>
      <c r="J767" s="17">
        <f t="shared" si="11"/>
        <v>59997.015820000001</v>
      </c>
      <c r="K767" s="15" t="s">
        <v>16</v>
      </c>
      <c r="L767" s="13"/>
      <c r="M767" s="13"/>
      <c r="N767" s="14"/>
    </row>
    <row r="768" spans="1:14" x14ac:dyDescent="0.35">
      <c r="A768" s="16" t="s">
        <v>69</v>
      </c>
      <c r="B768" s="13" t="s">
        <v>54</v>
      </c>
      <c r="C768" s="12">
        <v>44820</v>
      </c>
      <c r="D768" s="8">
        <v>2087.4270000000001</v>
      </c>
      <c r="E768" s="8">
        <v>71.86</v>
      </c>
      <c r="F768" s="13"/>
      <c r="G768" s="13" t="s">
        <v>13</v>
      </c>
      <c r="H768" s="13" t="s">
        <v>70</v>
      </c>
      <c r="I768" s="13" t="s">
        <v>55</v>
      </c>
      <c r="J768" s="17">
        <f t="shared" si="11"/>
        <v>150002.50422</v>
      </c>
      <c r="K768" s="15" t="s">
        <v>16</v>
      </c>
      <c r="L768" s="13"/>
      <c r="M768" s="13"/>
      <c r="N768" s="14"/>
    </row>
    <row r="769" spans="1:14" x14ac:dyDescent="0.35">
      <c r="A769" s="16" t="s">
        <v>53</v>
      </c>
      <c r="B769" s="13" t="s">
        <v>54</v>
      </c>
      <c r="C769" s="12">
        <v>44820</v>
      </c>
      <c r="D769" s="8">
        <v>83.575000000000003</v>
      </c>
      <c r="E769" s="8">
        <v>71.86</v>
      </c>
      <c r="F769" s="13"/>
      <c r="G769" s="13" t="s">
        <v>38</v>
      </c>
      <c r="H769" s="13" t="s">
        <v>40</v>
      </c>
      <c r="I769" s="13" t="s">
        <v>55</v>
      </c>
      <c r="J769" s="17">
        <f t="shared" si="11"/>
        <v>6005.6994999999997</v>
      </c>
      <c r="K769" s="15" t="s">
        <v>16</v>
      </c>
      <c r="L769" s="13"/>
      <c r="M769" s="13"/>
      <c r="N769" s="14"/>
    </row>
    <row r="770" spans="1:14" x14ac:dyDescent="0.35">
      <c r="A770" s="16" t="s">
        <v>65</v>
      </c>
      <c r="B770" s="13" t="s">
        <v>54</v>
      </c>
      <c r="C770" s="12">
        <v>44820</v>
      </c>
      <c r="D770" s="8">
        <v>71.86</v>
      </c>
      <c r="E770" s="8">
        <v>347.88099999999997</v>
      </c>
      <c r="F770" s="13" t="s">
        <v>58</v>
      </c>
      <c r="G770" s="13" t="s">
        <v>38</v>
      </c>
      <c r="H770" s="13" t="s">
        <v>66</v>
      </c>
      <c r="I770" s="13" t="s">
        <v>55</v>
      </c>
      <c r="J770" s="17">
        <f t="shared" ref="J770:J833" si="12">D770*E770</f>
        <v>24998.728659999997</v>
      </c>
      <c r="K770" s="15" t="s">
        <v>16</v>
      </c>
      <c r="L770" s="13"/>
      <c r="M770" s="13"/>
      <c r="N770" s="14"/>
    </row>
    <row r="771" spans="1:14" x14ac:dyDescent="0.35">
      <c r="A771" s="16" t="s">
        <v>67</v>
      </c>
      <c r="B771" s="13" t="s">
        <v>54</v>
      </c>
      <c r="C771" s="12">
        <v>44820</v>
      </c>
      <c r="D771" s="8">
        <v>347.88099999999997</v>
      </c>
      <c r="E771" s="8">
        <v>71.86</v>
      </c>
      <c r="F771" s="13" t="s">
        <v>58</v>
      </c>
      <c r="G771" s="13" t="s">
        <v>38</v>
      </c>
      <c r="H771" s="13" t="s">
        <v>68</v>
      </c>
      <c r="I771" s="13" t="s">
        <v>55</v>
      </c>
      <c r="J771" s="17">
        <f t="shared" si="12"/>
        <v>24998.728659999997</v>
      </c>
      <c r="K771" s="15" t="s">
        <v>16</v>
      </c>
      <c r="L771" s="13"/>
      <c r="M771" s="13"/>
      <c r="N771" s="14"/>
    </row>
    <row r="772" spans="1:14" x14ac:dyDescent="0.35">
      <c r="A772" s="16" t="s">
        <v>60</v>
      </c>
      <c r="B772" s="13" t="s">
        <v>61</v>
      </c>
      <c r="C772" s="12">
        <v>44820</v>
      </c>
      <c r="D772" s="8">
        <v>44.094000000000001</v>
      </c>
      <c r="E772" s="8">
        <v>34.017000000000003</v>
      </c>
      <c r="F772" s="13"/>
      <c r="G772" s="13" t="s">
        <v>13</v>
      </c>
      <c r="H772" s="13" t="s">
        <v>62</v>
      </c>
      <c r="I772" s="13" t="s">
        <v>63</v>
      </c>
      <c r="J772" s="17">
        <f t="shared" si="12"/>
        <v>1499.9455980000002</v>
      </c>
      <c r="K772" s="15" t="s">
        <v>16</v>
      </c>
      <c r="L772" s="13"/>
      <c r="M772" s="13"/>
      <c r="N772" s="14"/>
    </row>
    <row r="773" spans="1:14" x14ac:dyDescent="0.35">
      <c r="A773" s="16" t="s">
        <v>33</v>
      </c>
      <c r="B773" s="13" t="s">
        <v>25</v>
      </c>
      <c r="C773" s="12">
        <v>44820</v>
      </c>
      <c r="D773" s="8">
        <v>96.68</v>
      </c>
      <c r="E773" s="8">
        <v>51.714599999999997</v>
      </c>
      <c r="F773" s="13"/>
      <c r="G773" s="13" t="s">
        <v>31</v>
      </c>
      <c r="H773" s="13" t="s">
        <v>14</v>
      </c>
      <c r="I773" s="13" t="s">
        <v>26</v>
      </c>
      <c r="J773" s="17">
        <f t="shared" si="12"/>
        <v>4999.7675280000003</v>
      </c>
      <c r="K773" s="15" t="s">
        <v>32</v>
      </c>
      <c r="L773" s="13"/>
      <c r="M773" s="13"/>
      <c r="N773" s="14"/>
    </row>
    <row r="774" spans="1:14" x14ac:dyDescent="0.35">
      <c r="A774" s="16" t="s">
        <v>64</v>
      </c>
      <c r="B774" s="13" t="s">
        <v>54</v>
      </c>
      <c r="C774" s="12">
        <v>44820</v>
      </c>
      <c r="D774" s="8">
        <v>1043.713</v>
      </c>
      <c r="E774" s="8">
        <v>71.86</v>
      </c>
      <c r="F774" s="13"/>
      <c r="G774" s="13" t="s">
        <v>31</v>
      </c>
      <c r="H774" s="13"/>
      <c r="I774" s="13" t="s">
        <v>55</v>
      </c>
      <c r="J774" s="17">
        <f t="shared" si="12"/>
        <v>75001.216180000003</v>
      </c>
      <c r="K774" s="15" t="s">
        <v>32</v>
      </c>
      <c r="L774" s="13"/>
      <c r="M774" s="13"/>
      <c r="N774" s="14"/>
    </row>
    <row r="775" spans="1:14" x14ac:dyDescent="0.35">
      <c r="A775" s="16" t="s">
        <v>49</v>
      </c>
      <c r="B775" s="13" t="s">
        <v>39</v>
      </c>
      <c r="C775" s="12">
        <v>44822</v>
      </c>
      <c r="D775" s="8">
        <v>23.550999999999998</v>
      </c>
      <c r="E775" s="8">
        <v>106.148</v>
      </c>
      <c r="F775" s="13"/>
      <c r="G775" s="13" t="s">
        <v>31</v>
      </c>
      <c r="H775" s="13" t="s">
        <v>40</v>
      </c>
      <c r="I775" s="13" t="s">
        <v>41</v>
      </c>
      <c r="J775" s="17">
        <f t="shared" si="12"/>
        <v>2499.8915479999996</v>
      </c>
      <c r="K775" s="15" t="s">
        <v>32</v>
      </c>
      <c r="L775" s="13"/>
      <c r="M775" s="13"/>
      <c r="N775" s="14"/>
    </row>
    <row r="776" spans="1:14" x14ac:dyDescent="0.35">
      <c r="A776" s="16">
        <v>79931510915</v>
      </c>
      <c r="B776" s="13" t="s">
        <v>39</v>
      </c>
      <c r="C776" s="12">
        <v>44826</v>
      </c>
      <c r="D776" s="8">
        <v>29.486999999999998</v>
      </c>
      <c r="E776" s="8">
        <v>101.736</v>
      </c>
      <c r="F776" s="13"/>
      <c r="G776" s="13" t="s">
        <v>38</v>
      </c>
      <c r="H776" s="13" t="s">
        <v>40</v>
      </c>
      <c r="I776" s="13" t="s">
        <v>41</v>
      </c>
      <c r="J776" s="17">
        <f t="shared" si="12"/>
        <v>2999.8894319999999</v>
      </c>
      <c r="K776" s="15" t="s">
        <v>16</v>
      </c>
      <c r="L776" s="13"/>
      <c r="M776" s="13"/>
      <c r="N776" s="14"/>
    </row>
    <row r="777" spans="1:14" x14ac:dyDescent="0.35">
      <c r="A777" s="16" t="s">
        <v>65</v>
      </c>
      <c r="B777" s="13" t="s">
        <v>54</v>
      </c>
      <c r="C777" s="12">
        <v>44829</v>
      </c>
      <c r="D777" s="8">
        <v>70.05</v>
      </c>
      <c r="E777" s="8">
        <v>71.373999999999995</v>
      </c>
      <c r="F777" s="13"/>
      <c r="G777" s="13" t="s">
        <v>38</v>
      </c>
      <c r="H777" s="13" t="s">
        <v>66</v>
      </c>
      <c r="I777" s="13" t="s">
        <v>55</v>
      </c>
      <c r="J777" s="17">
        <f t="shared" si="12"/>
        <v>4999.7486999999992</v>
      </c>
      <c r="K777" s="15" t="s">
        <v>16</v>
      </c>
      <c r="L777" s="13"/>
      <c r="M777" s="13"/>
      <c r="N777" s="14"/>
    </row>
    <row r="778" spans="1:14" x14ac:dyDescent="0.35">
      <c r="A778" s="16" t="s">
        <v>67</v>
      </c>
      <c r="B778" s="13" t="s">
        <v>54</v>
      </c>
      <c r="C778" s="12">
        <v>44829</v>
      </c>
      <c r="D778" s="8">
        <v>71.373999999999995</v>
      </c>
      <c r="E778" s="8">
        <v>70.05</v>
      </c>
      <c r="F778" s="13"/>
      <c r="G778" s="13" t="s">
        <v>38</v>
      </c>
      <c r="H778" s="13" t="s">
        <v>68</v>
      </c>
      <c r="I778" s="13" t="s">
        <v>55</v>
      </c>
      <c r="J778" s="17">
        <f t="shared" si="12"/>
        <v>4999.7486999999992</v>
      </c>
      <c r="K778" s="15" t="s">
        <v>16</v>
      </c>
      <c r="L778" s="13"/>
      <c r="M778" s="13"/>
      <c r="N778" s="14"/>
    </row>
    <row r="779" spans="1:14" x14ac:dyDescent="0.35">
      <c r="A779" s="16" t="s">
        <v>69</v>
      </c>
      <c r="B779" s="13" t="s">
        <v>54</v>
      </c>
      <c r="C779" s="12">
        <v>44830</v>
      </c>
      <c r="D779" s="8">
        <v>1431.096</v>
      </c>
      <c r="E779" s="8">
        <v>69.88</v>
      </c>
      <c r="F779" s="13"/>
      <c r="G779" s="13" t="s">
        <v>13</v>
      </c>
      <c r="H779" s="13" t="s">
        <v>70</v>
      </c>
      <c r="I779" s="13" t="s">
        <v>55</v>
      </c>
      <c r="J779" s="17">
        <f t="shared" si="12"/>
        <v>100004.98848</v>
      </c>
      <c r="K779" s="15" t="s">
        <v>16</v>
      </c>
      <c r="L779" s="13"/>
      <c r="M779" s="13"/>
      <c r="N779" s="14"/>
    </row>
    <row r="780" spans="1:14" x14ac:dyDescent="0.35">
      <c r="A780" s="16" t="s">
        <v>53</v>
      </c>
      <c r="B780" s="13" t="s">
        <v>54</v>
      </c>
      <c r="C780" s="12">
        <v>44830</v>
      </c>
      <c r="D780" s="8">
        <v>143.238</v>
      </c>
      <c r="E780" s="8">
        <v>69.88</v>
      </c>
      <c r="F780" s="13"/>
      <c r="G780" s="13" t="s">
        <v>38</v>
      </c>
      <c r="H780" s="13" t="s">
        <v>40</v>
      </c>
      <c r="I780" s="13" t="s">
        <v>55</v>
      </c>
      <c r="J780" s="17">
        <f t="shared" si="12"/>
        <v>10009.471439999999</v>
      </c>
      <c r="K780" s="15" t="s">
        <v>16</v>
      </c>
      <c r="L780" s="13"/>
      <c r="M780" s="13"/>
      <c r="N780" s="14"/>
    </row>
    <row r="781" spans="1:14" x14ac:dyDescent="0.35">
      <c r="A781" s="16" t="s">
        <v>65</v>
      </c>
      <c r="B781" s="13" t="s">
        <v>54</v>
      </c>
      <c r="C781" s="12">
        <v>44830</v>
      </c>
      <c r="D781" s="8">
        <v>69.88</v>
      </c>
      <c r="E781" s="8">
        <v>143.238</v>
      </c>
      <c r="F781" s="13" t="s">
        <v>58</v>
      </c>
      <c r="G781" s="13" t="s">
        <v>38</v>
      </c>
      <c r="H781" s="13" t="s">
        <v>66</v>
      </c>
      <c r="I781" s="13" t="s">
        <v>55</v>
      </c>
      <c r="J781" s="17">
        <f t="shared" si="12"/>
        <v>10009.471439999999</v>
      </c>
      <c r="K781" s="15" t="s">
        <v>16</v>
      </c>
      <c r="L781" s="13"/>
      <c r="M781" s="13"/>
      <c r="N781" s="14"/>
    </row>
    <row r="782" spans="1:14" x14ac:dyDescent="0.35">
      <c r="A782" s="16" t="s">
        <v>27</v>
      </c>
      <c r="B782" s="13" t="s">
        <v>56</v>
      </c>
      <c r="C782" s="12">
        <v>44830</v>
      </c>
      <c r="D782" s="8">
        <v>136.935</v>
      </c>
      <c r="E782" s="8">
        <v>10.99</v>
      </c>
      <c r="F782" s="13" t="s">
        <v>58</v>
      </c>
      <c r="G782" s="13" t="s">
        <v>13</v>
      </c>
      <c r="H782" s="13" t="s">
        <v>40</v>
      </c>
      <c r="I782" s="13" t="s">
        <v>57</v>
      </c>
      <c r="J782" s="17">
        <f t="shared" si="12"/>
        <v>1504.9156500000001</v>
      </c>
      <c r="K782" s="15" t="s">
        <v>16</v>
      </c>
      <c r="L782" s="13"/>
      <c r="M782" s="13"/>
      <c r="N782" s="14"/>
    </row>
    <row r="783" spans="1:14" x14ac:dyDescent="0.35">
      <c r="A783" s="16" t="s">
        <v>60</v>
      </c>
      <c r="B783" s="13" t="s">
        <v>61</v>
      </c>
      <c r="C783" s="12">
        <v>44830</v>
      </c>
      <c r="D783" s="8">
        <v>76.317999999999998</v>
      </c>
      <c r="E783" s="8">
        <v>32.756</v>
      </c>
      <c r="F783" s="13"/>
      <c r="G783" s="13" t="s">
        <v>13</v>
      </c>
      <c r="H783" s="13" t="s">
        <v>62</v>
      </c>
      <c r="I783" s="13" t="s">
        <v>63</v>
      </c>
      <c r="J783" s="17">
        <f t="shared" si="12"/>
        <v>2499.8724079999997</v>
      </c>
      <c r="K783" s="15" t="s">
        <v>16</v>
      </c>
      <c r="L783" s="13"/>
      <c r="M783" s="13"/>
      <c r="N783" s="14"/>
    </row>
    <row r="784" spans="1:14" x14ac:dyDescent="0.35">
      <c r="A784" s="16" t="s">
        <v>33</v>
      </c>
      <c r="B784" s="13" t="s">
        <v>25</v>
      </c>
      <c r="C784" s="12">
        <v>44830</v>
      </c>
      <c r="D784" s="8">
        <v>99.8</v>
      </c>
      <c r="E784" s="8">
        <v>50.147799999999997</v>
      </c>
      <c r="F784" s="13"/>
      <c r="G784" s="13" t="s">
        <v>31</v>
      </c>
      <c r="H784" s="13" t="s">
        <v>14</v>
      </c>
      <c r="I784" s="13" t="s">
        <v>26</v>
      </c>
      <c r="J784" s="17">
        <f t="shared" si="12"/>
        <v>5004.7504399999998</v>
      </c>
      <c r="K784" s="15" t="s">
        <v>32</v>
      </c>
      <c r="L784" s="13"/>
      <c r="M784" s="13"/>
      <c r="N784" s="14"/>
    </row>
    <row r="785" spans="1:14" x14ac:dyDescent="0.35">
      <c r="A785" s="16" t="s">
        <v>64</v>
      </c>
      <c r="B785" s="13" t="s">
        <v>54</v>
      </c>
      <c r="C785" s="12">
        <v>44830</v>
      </c>
      <c r="D785" s="8">
        <v>214.643</v>
      </c>
      <c r="E785" s="8">
        <v>69.88</v>
      </c>
      <c r="F785" s="13"/>
      <c r="G785" s="13" t="s">
        <v>31</v>
      </c>
      <c r="H785" s="13"/>
      <c r="I785" s="13" t="s">
        <v>55</v>
      </c>
      <c r="J785" s="17">
        <f t="shared" si="12"/>
        <v>14999.252839999999</v>
      </c>
      <c r="K785" s="15" t="s">
        <v>32</v>
      </c>
      <c r="L785" s="13"/>
      <c r="M785" s="13"/>
      <c r="N785" s="14"/>
    </row>
    <row r="786" spans="1:14" x14ac:dyDescent="0.35">
      <c r="A786" s="16" t="s">
        <v>69</v>
      </c>
      <c r="B786" s="13" t="s">
        <v>54</v>
      </c>
      <c r="C786" s="12">
        <v>44832</v>
      </c>
      <c r="D786" s="8">
        <v>143.03399999999999</v>
      </c>
      <c r="E786" s="8">
        <v>69.91</v>
      </c>
      <c r="F786" s="13"/>
      <c r="G786" s="13" t="s">
        <v>13</v>
      </c>
      <c r="H786" s="13" t="s">
        <v>70</v>
      </c>
      <c r="I786" s="13" t="s">
        <v>55</v>
      </c>
      <c r="J786" s="17">
        <f t="shared" si="12"/>
        <v>9999.5069399999993</v>
      </c>
      <c r="K786" s="15" t="s">
        <v>16</v>
      </c>
      <c r="L786" s="13"/>
      <c r="M786" s="13"/>
      <c r="N786" s="14"/>
    </row>
    <row r="787" spans="1:14" x14ac:dyDescent="0.35">
      <c r="A787" s="16" t="s">
        <v>67</v>
      </c>
      <c r="B787" s="13" t="s">
        <v>54</v>
      </c>
      <c r="C787" s="12">
        <v>44832</v>
      </c>
      <c r="D787" s="8">
        <v>143.17699999999999</v>
      </c>
      <c r="E787" s="8">
        <v>69.91</v>
      </c>
      <c r="F787" s="13" t="s">
        <v>58</v>
      </c>
      <c r="G787" s="13" t="s">
        <v>38</v>
      </c>
      <c r="H787" s="13" t="s">
        <v>68</v>
      </c>
      <c r="I787" s="13" t="s">
        <v>55</v>
      </c>
      <c r="J787" s="17">
        <f t="shared" si="12"/>
        <v>10009.504069999999</v>
      </c>
      <c r="K787" s="15" t="s">
        <v>16</v>
      </c>
      <c r="L787" s="13"/>
      <c r="M787" s="13"/>
      <c r="N787" s="14"/>
    </row>
    <row r="788" spans="1:14" x14ac:dyDescent="0.35">
      <c r="A788" s="16" t="s">
        <v>33</v>
      </c>
      <c r="B788" s="13" t="s">
        <v>25</v>
      </c>
      <c r="C788" s="12">
        <v>44841</v>
      </c>
      <c r="D788" s="8">
        <v>97.506</v>
      </c>
      <c r="E788" s="8">
        <v>51.276400000000002</v>
      </c>
      <c r="F788" s="13"/>
      <c r="G788" s="13" t="s">
        <v>31</v>
      </c>
      <c r="H788" s="13" t="s">
        <v>14</v>
      </c>
      <c r="I788" s="13" t="s">
        <v>26</v>
      </c>
      <c r="J788" s="17">
        <f t="shared" si="12"/>
        <v>4999.7566584000006</v>
      </c>
      <c r="K788" s="15" t="s">
        <v>32</v>
      </c>
      <c r="L788" s="13"/>
      <c r="M788" s="13"/>
      <c r="N788" s="14"/>
    </row>
    <row r="789" spans="1:14" x14ac:dyDescent="0.35">
      <c r="A789" s="16">
        <v>19915197402</v>
      </c>
      <c r="B789" s="13" t="s">
        <v>28</v>
      </c>
      <c r="C789" s="12">
        <v>44844</v>
      </c>
      <c r="D789" s="8">
        <v>2775.634</v>
      </c>
      <c r="E789" s="8">
        <v>180.13</v>
      </c>
      <c r="F789" s="13"/>
      <c r="G789" s="13" t="s">
        <v>13</v>
      </c>
      <c r="H789" s="13" t="s">
        <v>29</v>
      </c>
      <c r="I789" s="13" t="s">
        <v>30</v>
      </c>
      <c r="J789" s="17">
        <f t="shared" si="12"/>
        <v>499974.95241999999</v>
      </c>
      <c r="K789" s="15" t="s">
        <v>16</v>
      </c>
      <c r="L789" s="13"/>
      <c r="M789" s="13"/>
      <c r="N789" s="14"/>
    </row>
    <row r="790" spans="1:14" x14ac:dyDescent="0.35">
      <c r="A790" s="16" t="s">
        <v>24</v>
      </c>
      <c r="B790" s="13" t="s">
        <v>25</v>
      </c>
      <c r="C790" s="12">
        <v>44844</v>
      </c>
      <c r="D790" s="8">
        <v>9863.2690000000002</v>
      </c>
      <c r="E790" s="8">
        <v>50.690600000000003</v>
      </c>
      <c r="F790" s="13"/>
      <c r="G790" s="13" t="s">
        <v>13</v>
      </c>
      <c r="H790" s="13" t="s">
        <v>14</v>
      </c>
      <c r="I790" s="13" t="s">
        <v>26</v>
      </c>
      <c r="J790" s="17">
        <f t="shared" si="12"/>
        <v>499975.02357140003</v>
      </c>
      <c r="K790" s="15" t="s">
        <v>16</v>
      </c>
      <c r="L790" s="13"/>
      <c r="M790" s="13"/>
      <c r="N790" s="14"/>
    </row>
    <row r="791" spans="1:14" x14ac:dyDescent="0.35">
      <c r="A791" s="16" t="s">
        <v>33</v>
      </c>
      <c r="B791" s="13" t="s">
        <v>25</v>
      </c>
      <c r="C791" s="12">
        <v>44844</v>
      </c>
      <c r="D791" s="8">
        <v>3945.31</v>
      </c>
      <c r="E791" s="8">
        <v>50.690600000000003</v>
      </c>
      <c r="F791" s="13"/>
      <c r="G791" s="13" t="s">
        <v>31</v>
      </c>
      <c r="H791" s="13" t="s">
        <v>14</v>
      </c>
      <c r="I791" s="13" t="s">
        <v>26</v>
      </c>
      <c r="J791" s="17">
        <f t="shared" si="12"/>
        <v>199990.13108600001</v>
      </c>
      <c r="K791" s="15" t="s">
        <v>32</v>
      </c>
      <c r="L791" s="13"/>
      <c r="M791" s="13"/>
      <c r="N791" s="14"/>
    </row>
    <row r="792" spans="1:14" x14ac:dyDescent="0.35">
      <c r="A792" s="16" t="s">
        <v>53</v>
      </c>
      <c r="B792" s="13" t="s">
        <v>54</v>
      </c>
      <c r="C792" s="12">
        <v>44845</v>
      </c>
      <c r="D792" s="8">
        <v>42.371000000000002</v>
      </c>
      <c r="E792" s="8">
        <v>70.8</v>
      </c>
      <c r="F792" s="13"/>
      <c r="G792" s="13" t="s">
        <v>38</v>
      </c>
      <c r="H792" s="13" t="s">
        <v>40</v>
      </c>
      <c r="I792" s="13" t="s">
        <v>55</v>
      </c>
      <c r="J792" s="17">
        <f t="shared" si="12"/>
        <v>2999.8668000000002</v>
      </c>
      <c r="K792" s="15" t="s">
        <v>16</v>
      </c>
      <c r="L792" s="13"/>
      <c r="M792" s="13"/>
      <c r="N792" s="14"/>
    </row>
    <row r="793" spans="1:14" x14ac:dyDescent="0.35">
      <c r="A793" s="16">
        <v>19915197402</v>
      </c>
      <c r="B793" s="13" t="s">
        <v>28</v>
      </c>
      <c r="C793" s="12">
        <v>44845</v>
      </c>
      <c r="D793" s="8">
        <v>843.697</v>
      </c>
      <c r="E793" s="8">
        <v>177.78</v>
      </c>
      <c r="F793" s="13"/>
      <c r="G793" s="13" t="s">
        <v>13</v>
      </c>
      <c r="H793" s="13" t="s">
        <v>29</v>
      </c>
      <c r="I793" s="13" t="s">
        <v>30</v>
      </c>
      <c r="J793" s="17">
        <f t="shared" si="12"/>
        <v>149992.45266000001</v>
      </c>
      <c r="K793" s="15" t="s">
        <v>16</v>
      </c>
      <c r="L793" s="13"/>
      <c r="M793" s="13"/>
      <c r="N793" s="14"/>
    </row>
    <row r="794" spans="1:14" x14ac:dyDescent="0.35">
      <c r="A794" s="16" t="s">
        <v>27</v>
      </c>
      <c r="B794" s="13" t="s">
        <v>56</v>
      </c>
      <c r="C794" s="12">
        <v>44845</v>
      </c>
      <c r="D794" s="8">
        <v>90.085999999999999</v>
      </c>
      <c r="E794" s="8">
        <v>11.1</v>
      </c>
      <c r="F794" s="13"/>
      <c r="G794" s="13" t="s">
        <v>13</v>
      </c>
      <c r="H794" s="13" t="s">
        <v>40</v>
      </c>
      <c r="I794" s="13" t="s">
        <v>57</v>
      </c>
      <c r="J794" s="17">
        <f t="shared" si="12"/>
        <v>999.95459999999991</v>
      </c>
      <c r="K794" s="15" t="s">
        <v>16</v>
      </c>
      <c r="L794" s="13"/>
      <c r="M794" s="13"/>
      <c r="N794" s="14"/>
    </row>
    <row r="795" spans="1:14" x14ac:dyDescent="0.35">
      <c r="A795" s="16">
        <v>79931510915</v>
      </c>
      <c r="B795" s="13" t="s">
        <v>39</v>
      </c>
      <c r="C795" s="12">
        <v>44845</v>
      </c>
      <c r="D795" s="8">
        <v>19.475000000000001</v>
      </c>
      <c r="E795" s="8">
        <v>102.69199999999999</v>
      </c>
      <c r="F795" s="13"/>
      <c r="G795" s="13" t="s">
        <v>38</v>
      </c>
      <c r="H795" s="13" t="s">
        <v>40</v>
      </c>
      <c r="I795" s="13" t="s">
        <v>41</v>
      </c>
      <c r="J795" s="17">
        <f t="shared" si="12"/>
        <v>1999.9267</v>
      </c>
      <c r="K795" s="15" t="s">
        <v>16</v>
      </c>
      <c r="L795" s="13"/>
      <c r="M795" s="13"/>
      <c r="N795" s="14"/>
    </row>
    <row r="796" spans="1:14" x14ac:dyDescent="0.35">
      <c r="A796" s="16" t="s">
        <v>24</v>
      </c>
      <c r="B796" s="13" t="s">
        <v>25</v>
      </c>
      <c r="C796" s="12">
        <v>44845</v>
      </c>
      <c r="D796" s="8">
        <v>2985.2280000000001</v>
      </c>
      <c r="E796" s="8">
        <v>50.244900000000001</v>
      </c>
      <c r="F796" s="13"/>
      <c r="G796" s="13" t="s">
        <v>13</v>
      </c>
      <c r="H796" s="13" t="s">
        <v>14</v>
      </c>
      <c r="I796" s="13" t="s">
        <v>26</v>
      </c>
      <c r="J796" s="17">
        <f t="shared" si="12"/>
        <v>149992.4823372</v>
      </c>
      <c r="K796" s="15" t="s">
        <v>16</v>
      </c>
      <c r="L796" s="13"/>
      <c r="M796" s="13"/>
      <c r="N796" s="14"/>
    </row>
    <row r="797" spans="1:14" x14ac:dyDescent="0.35">
      <c r="A797" s="16" t="s">
        <v>37</v>
      </c>
      <c r="B797" s="13" t="s">
        <v>25</v>
      </c>
      <c r="C797" s="12">
        <v>44845</v>
      </c>
      <c r="D797" s="8">
        <v>99.507999999999996</v>
      </c>
      <c r="E797" s="8">
        <v>50.244900000000001</v>
      </c>
      <c r="F797" s="13"/>
      <c r="G797" s="13" t="s">
        <v>38</v>
      </c>
      <c r="H797" s="13"/>
      <c r="I797" s="13" t="s">
        <v>26</v>
      </c>
      <c r="J797" s="17">
        <f t="shared" si="12"/>
        <v>4999.7695091999994</v>
      </c>
      <c r="K797" s="15" t="s">
        <v>16</v>
      </c>
      <c r="L797" s="13"/>
      <c r="M797" s="13"/>
      <c r="N797" s="14"/>
    </row>
    <row r="798" spans="1:14" x14ac:dyDescent="0.35">
      <c r="A798" s="16" t="s">
        <v>33</v>
      </c>
      <c r="B798" s="13" t="s">
        <v>25</v>
      </c>
      <c r="C798" s="12">
        <v>44845</v>
      </c>
      <c r="D798" s="8">
        <v>5174.3999999999996</v>
      </c>
      <c r="E798" s="8">
        <v>50.244900000000001</v>
      </c>
      <c r="F798" s="13"/>
      <c r="G798" s="13" t="s">
        <v>31</v>
      </c>
      <c r="H798" s="13" t="s">
        <v>14</v>
      </c>
      <c r="I798" s="13" t="s">
        <v>26</v>
      </c>
      <c r="J798" s="17">
        <f t="shared" si="12"/>
        <v>259987.21055999998</v>
      </c>
      <c r="K798" s="15" t="s">
        <v>32</v>
      </c>
      <c r="L798" s="13"/>
      <c r="M798" s="13"/>
      <c r="N798" s="14"/>
    </row>
    <row r="799" spans="1:14" x14ac:dyDescent="0.35">
      <c r="A799" s="16" t="s">
        <v>49</v>
      </c>
      <c r="B799" s="13" t="s">
        <v>39</v>
      </c>
      <c r="C799" s="12">
        <v>44852</v>
      </c>
      <c r="D799" s="8">
        <v>23.981000000000002</v>
      </c>
      <c r="E799" s="8">
        <v>104.246</v>
      </c>
      <c r="F799" s="13"/>
      <c r="G799" s="13" t="s">
        <v>31</v>
      </c>
      <c r="H799" s="13" t="s">
        <v>40</v>
      </c>
      <c r="I799" s="13" t="s">
        <v>41</v>
      </c>
      <c r="J799" s="17">
        <f t="shared" si="12"/>
        <v>2499.9233260000001</v>
      </c>
      <c r="K799" s="15" t="s">
        <v>32</v>
      </c>
      <c r="L799" s="13"/>
      <c r="M799" s="13"/>
      <c r="N799" s="14"/>
    </row>
    <row r="800" spans="1:14" x14ac:dyDescent="0.35">
      <c r="A800" s="16" t="s">
        <v>65</v>
      </c>
      <c r="B800" s="13" t="s">
        <v>54</v>
      </c>
      <c r="C800" s="12">
        <v>44859</v>
      </c>
      <c r="D800" s="8">
        <v>70.98</v>
      </c>
      <c r="E800" s="8">
        <v>70.438999999999993</v>
      </c>
      <c r="F800" s="13"/>
      <c r="G800" s="13" t="s">
        <v>38</v>
      </c>
      <c r="H800" s="13" t="s">
        <v>66</v>
      </c>
      <c r="I800" s="13" t="s">
        <v>55</v>
      </c>
      <c r="J800" s="17">
        <f t="shared" si="12"/>
        <v>4999.7602200000001</v>
      </c>
      <c r="K800" s="15" t="s">
        <v>16</v>
      </c>
      <c r="L800" s="13"/>
      <c r="M800" s="13"/>
      <c r="N800" s="14"/>
    </row>
    <row r="801" spans="1:14" x14ac:dyDescent="0.35">
      <c r="A801" s="16" t="s">
        <v>67</v>
      </c>
      <c r="B801" s="13" t="s">
        <v>54</v>
      </c>
      <c r="C801" s="12">
        <v>44859</v>
      </c>
      <c r="D801" s="8">
        <v>70.438999999999993</v>
      </c>
      <c r="E801" s="8">
        <v>70.98</v>
      </c>
      <c r="F801" s="13"/>
      <c r="G801" s="13" t="s">
        <v>38</v>
      </c>
      <c r="H801" s="13" t="s">
        <v>68</v>
      </c>
      <c r="I801" s="13" t="s">
        <v>55</v>
      </c>
      <c r="J801" s="17">
        <f t="shared" si="12"/>
        <v>4999.7602200000001</v>
      </c>
      <c r="K801" s="15" t="s">
        <v>16</v>
      </c>
      <c r="L801" s="13"/>
      <c r="M801" s="13"/>
      <c r="N801" s="14"/>
    </row>
    <row r="802" spans="1:14" x14ac:dyDescent="0.35">
      <c r="A802" s="16">
        <v>79931510915</v>
      </c>
      <c r="B802" s="13" t="s">
        <v>39</v>
      </c>
      <c r="C802" s="12">
        <v>44859</v>
      </c>
      <c r="D802" s="8">
        <v>28.587</v>
      </c>
      <c r="E802" s="8">
        <v>104.937</v>
      </c>
      <c r="F802" s="13"/>
      <c r="G802" s="13" t="s">
        <v>38</v>
      </c>
      <c r="H802" s="13" t="s">
        <v>40</v>
      </c>
      <c r="I802" s="13" t="s">
        <v>41</v>
      </c>
      <c r="J802" s="17">
        <f t="shared" si="12"/>
        <v>2999.8340189999999</v>
      </c>
      <c r="K802" s="15" t="s">
        <v>16</v>
      </c>
      <c r="L802" s="13"/>
      <c r="M802" s="13"/>
      <c r="N802" s="14"/>
    </row>
    <row r="803" spans="1:14" x14ac:dyDescent="0.35">
      <c r="A803" s="16" t="s">
        <v>53</v>
      </c>
      <c r="B803" s="13" t="s">
        <v>54</v>
      </c>
      <c r="C803" s="12">
        <v>44876</v>
      </c>
      <c r="D803" s="8">
        <v>41.973999999999997</v>
      </c>
      <c r="E803" s="8">
        <v>71.47</v>
      </c>
      <c r="F803" s="13"/>
      <c r="G803" s="13" t="s">
        <v>38</v>
      </c>
      <c r="H803" s="13" t="s">
        <v>40</v>
      </c>
      <c r="I803" s="13" t="s">
        <v>55</v>
      </c>
      <c r="J803" s="17">
        <f t="shared" si="12"/>
        <v>2999.8817799999997</v>
      </c>
      <c r="K803" s="15" t="s">
        <v>16</v>
      </c>
      <c r="L803" s="13"/>
      <c r="M803" s="13"/>
      <c r="N803" s="14"/>
    </row>
    <row r="804" spans="1:14" x14ac:dyDescent="0.35">
      <c r="A804" s="16" t="s">
        <v>27</v>
      </c>
      <c r="B804" s="13" t="s">
        <v>56</v>
      </c>
      <c r="C804" s="12">
        <v>44876</v>
      </c>
      <c r="D804" s="8">
        <v>84.384</v>
      </c>
      <c r="E804" s="8">
        <v>11.85</v>
      </c>
      <c r="F804" s="13"/>
      <c r="G804" s="13" t="s">
        <v>13</v>
      </c>
      <c r="H804" s="13" t="s">
        <v>40</v>
      </c>
      <c r="I804" s="13" t="s">
        <v>57</v>
      </c>
      <c r="J804" s="17">
        <f t="shared" si="12"/>
        <v>999.95039999999995</v>
      </c>
      <c r="K804" s="15" t="s">
        <v>16</v>
      </c>
      <c r="L804" s="13"/>
      <c r="M804" s="13"/>
      <c r="N804" s="14"/>
    </row>
    <row r="805" spans="1:14" x14ac:dyDescent="0.35">
      <c r="A805" s="16">
        <v>79931510915</v>
      </c>
      <c r="B805" s="13" t="s">
        <v>39</v>
      </c>
      <c r="C805" s="12">
        <v>44876</v>
      </c>
      <c r="D805" s="8">
        <v>18.686</v>
      </c>
      <c r="E805" s="8">
        <v>107.027</v>
      </c>
      <c r="F805" s="13"/>
      <c r="G805" s="13" t="s">
        <v>38</v>
      </c>
      <c r="H805" s="13" t="s">
        <v>40</v>
      </c>
      <c r="I805" s="13" t="s">
        <v>41</v>
      </c>
      <c r="J805" s="17">
        <f t="shared" si="12"/>
        <v>1999.906522</v>
      </c>
      <c r="K805" s="15" t="s">
        <v>16</v>
      </c>
      <c r="L805" s="13"/>
      <c r="M805" s="13"/>
      <c r="N805" s="14"/>
    </row>
    <row r="806" spans="1:14" x14ac:dyDescent="0.35">
      <c r="A806" s="16" t="s">
        <v>37</v>
      </c>
      <c r="B806" s="13" t="s">
        <v>25</v>
      </c>
      <c r="C806" s="12">
        <v>44879</v>
      </c>
      <c r="D806" s="8">
        <v>95.52</v>
      </c>
      <c r="E806" s="8">
        <v>52.342300000000002</v>
      </c>
      <c r="F806" s="13"/>
      <c r="G806" s="13" t="s">
        <v>38</v>
      </c>
      <c r="H806" s="13"/>
      <c r="I806" s="13" t="s">
        <v>26</v>
      </c>
      <c r="J806" s="17">
        <f t="shared" si="12"/>
        <v>4999.7364959999995</v>
      </c>
      <c r="K806" s="15" t="s">
        <v>16</v>
      </c>
      <c r="L806" s="13"/>
      <c r="M806" s="13"/>
      <c r="N806" s="14"/>
    </row>
    <row r="807" spans="1:14" x14ac:dyDescent="0.35">
      <c r="A807" s="16" t="s">
        <v>49</v>
      </c>
      <c r="B807" s="13" t="s">
        <v>39</v>
      </c>
      <c r="C807" s="12">
        <v>44883</v>
      </c>
      <c r="D807" s="8">
        <v>23.564</v>
      </c>
      <c r="E807" s="8">
        <v>106.087</v>
      </c>
      <c r="F807" s="13"/>
      <c r="G807" s="13" t="s">
        <v>31</v>
      </c>
      <c r="H807" s="13" t="s">
        <v>40</v>
      </c>
      <c r="I807" s="13" t="s">
        <v>41</v>
      </c>
      <c r="J807" s="17">
        <f t="shared" si="12"/>
        <v>2499.8340680000001</v>
      </c>
      <c r="K807" s="15" t="s">
        <v>32</v>
      </c>
      <c r="L807" s="13"/>
      <c r="M807" s="13"/>
      <c r="N807" s="14"/>
    </row>
    <row r="808" spans="1:14" x14ac:dyDescent="0.35">
      <c r="A808" s="16">
        <v>79931510915</v>
      </c>
      <c r="B808" s="13" t="s">
        <v>39</v>
      </c>
      <c r="C808" s="12">
        <v>44887</v>
      </c>
      <c r="D808" s="8">
        <v>28.224</v>
      </c>
      <c r="E808" s="8">
        <v>106.288</v>
      </c>
      <c r="F808" s="13"/>
      <c r="G808" s="13" t="s">
        <v>38</v>
      </c>
      <c r="H808" s="13" t="s">
        <v>40</v>
      </c>
      <c r="I808" s="13" t="s">
        <v>41</v>
      </c>
      <c r="J808" s="17">
        <f t="shared" si="12"/>
        <v>2999.8725119999999</v>
      </c>
      <c r="K808" s="15" t="s">
        <v>16</v>
      </c>
      <c r="L808" s="13"/>
      <c r="M808" s="13"/>
      <c r="N808" s="14"/>
    </row>
    <row r="809" spans="1:14" x14ac:dyDescent="0.35">
      <c r="A809" s="16" t="s">
        <v>65</v>
      </c>
      <c r="B809" s="13" t="s">
        <v>54</v>
      </c>
      <c r="C809" s="12">
        <v>44890</v>
      </c>
      <c r="D809" s="8">
        <v>72.13</v>
      </c>
      <c r="E809" s="8">
        <v>69.316000000000003</v>
      </c>
      <c r="F809" s="13"/>
      <c r="G809" s="13" t="s">
        <v>38</v>
      </c>
      <c r="H809" s="13" t="s">
        <v>66</v>
      </c>
      <c r="I809" s="13" t="s">
        <v>55</v>
      </c>
      <c r="J809" s="17">
        <f t="shared" si="12"/>
        <v>4999.7630799999997</v>
      </c>
      <c r="K809" s="15" t="s">
        <v>16</v>
      </c>
      <c r="L809" s="13"/>
      <c r="M809" s="13"/>
      <c r="N809" s="14"/>
    </row>
    <row r="810" spans="1:14" x14ac:dyDescent="0.35">
      <c r="A810" s="16" t="s">
        <v>67</v>
      </c>
      <c r="B810" s="13" t="s">
        <v>54</v>
      </c>
      <c r="C810" s="12">
        <v>44890</v>
      </c>
      <c r="D810" s="8">
        <v>69.316000000000003</v>
      </c>
      <c r="E810" s="8">
        <v>72.13</v>
      </c>
      <c r="F810" s="13"/>
      <c r="G810" s="13" t="s">
        <v>38</v>
      </c>
      <c r="H810" s="13" t="s">
        <v>68</v>
      </c>
      <c r="I810" s="13" t="s">
        <v>55</v>
      </c>
      <c r="J810" s="17">
        <f t="shared" si="12"/>
        <v>4999.7630799999997</v>
      </c>
      <c r="K810" s="15" t="s">
        <v>16</v>
      </c>
      <c r="L810" s="13"/>
      <c r="M810" s="13"/>
      <c r="N810" s="14"/>
    </row>
    <row r="811" spans="1:14" x14ac:dyDescent="0.35">
      <c r="A811" s="16" t="s">
        <v>27</v>
      </c>
      <c r="B811" s="13" t="s">
        <v>56</v>
      </c>
      <c r="C811" s="12">
        <v>44906</v>
      </c>
      <c r="D811" s="8">
        <v>82.64</v>
      </c>
      <c r="E811" s="8">
        <v>12.1</v>
      </c>
      <c r="F811" s="13"/>
      <c r="G811" s="13" t="s">
        <v>13</v>
      </c>
      <c r="H811" s="13" t="s">
        <v>40</v>
      </c>
      <c r="I811" s="13" t="s">
        <v>57</v>
      </c>
      <c r="J811" s="17">
        <f t="shared" si="12"/>
        <v>999.94399999999996</v>
      </c>
      <c r="K811" s="15" t="s">
        <v>16</v>
      </c>
      <c r="L811" s="13"/>
      <c r="M811" s="13"/>
      <c r="N811" s="14"/>
    </row>
    <row r="812" spans="1:14" x14ac:dyDescent="0.35">
      <c r="A812" s="16" t="s">
        <v>53</v>
      </c>
      <c r="B812" s="13" t="s">
        <v>54</v>
      </c>
      <c r="C812" s="12">
        <v>44907</v>
      </c>
      <c r="D812" s="8">
        <v>41.122</v>
      </c>
      <c r="E812" s="8">
        <v>72.95</v>
      </c>
      <c r="F812" s="13"/>
      <c r="G812" s="13" t="s">
        <v>38</v>
      </c>
      <c r="H812" s="13" t="s">
        <v>40</v>
      </c>
      <c r="I812" s="13" t="s">
        <v>55</v>
      </c>
      <c r="J812" s="17">
        <f t="shared" si="12"/>
        <v>2999.8499000000002</v>
      </c>
      <c r="K812" s="15" t="s">
        <v>16</v>
      </c>
      <c r="L812" s="13"/>
      <c r="M812" s="13"/>
      <c r="N812" s="14"/>
    </row>
    <row r="813" spans="1:14" x14ac:dyDescent="0.35">
      <c r="A813" s="16">
        <v>79931510915</v>
      </c>
      <c r="B813" s="13" t="s">
        <v>39</v>
      </c>
      <c r="C813" s="12">
        <v>44907</v>
      </c>
      <c r="D813" s="8">
        <v>18.297999999999998</v>
      </c>
      <c r="E813" s="8">
        <v>109.298</v>
      </c>
      <c r="F813" s="13"/>
      <c r="G813" s="13" t="s">
        <v>38</v>
      </c>
      <c r="H813" s="13" t="s">
        <v>40</v>
      </c>
      <c r="I813" s="13" t="s">
        <v>41</v>
      </c>
      <c r="J813" s="17">
        <f t="shared" si="12"/>
        <v>1999.9348039999998</v>
      </c>
      <c r="K813" s="15" t="s">
        <v>16</v>
      </c>
      <c r="L813" s="13"/>
      <c r="M813" s="13"/>
      <c r="N813" s="14"/>
    </row>
    <row r="814" spans="1:14" x14ac:dyDescent="0.35">
      <c r="A814" s="16" t="s">
        <v>37</v>
      </c>
      <c r="B814" s="13" t="s">
        <v>25</v>
      </c>
      <c r="C814" s="12">
        <v>44908</v>
      </c>
      <c r="D814" s="8">
        <v>95.406000000000006</v>
      </c>
      <c r="E814" s="8">
        <v>52.404800000000002</v>
      </c>
      <c r="F814" s="13"/>
      <c r="G814" s="13" t="s">
        <v>38</v>
      </c>
      <c r="H814" s="13"/>
      <c r="I814" s="13" t="s">
        <v>26</v>
      </c>
      <c r="J814" s="17">
        <f t="shared" si="12"/>
        <v>4999.7323488000002</v>
      </c>
      <c r="K814" s="15" t="s">
        <v>16</v>
      </c>
      <c r="L814" s="13"/>
      <c r="M814" s="13"/>
      <c r="N814" s="14"/>
    </row>
    <row r="815" spans="1:14" x14ac:dyDescent="0.35">
      <c r="A815" s="16" t="s">
        <v>49</v>
      </c>
      <c r="B815" s="13" t="s">
        <v>39</v>
      </c>
      <c r="C815" s="12">
        <v>44913</v>
      </c>
      <c r="D815" s="8">
        <v>23.431000000000001</v>
      </c>
      <c r="E815" s="8">
        <v>106.69</v>
      </c>
      <c r="F815" s="13"/>
      <c r="G815" s="13" t="s">
        <v>31</v>
      </c>
      <c r="H815" s="13" t="s">
        <v>40</v>
      </c>
      <c r="I815" s="13" t="s">
        <v>41</v>
      </c>
      <c r="J815" s="17">
        <f t="shared" si="12"/>
        <v>2499.8533900000002</v>
      </c>
      <c r="K815" s="15" t="s">
        <v>32</v>
      </c>
      <c r="L815" s="13"/>
      <c r="M815" s="13"/>
      <c r="N815" s="14"/>
    </row>
    <row r="816" spans="1:14" x14ac:dyDescent="0.35">
      <c r="A816" s="16">
        <v>79931510915</v>
      </c>
      <c r="B816" s="13" t="s">
        <v>39</v>
      </c>
      <c r="C816" s="12">
        <v>44917</v>
      </c>
      <c r="D816" s="8">
        <v>29.018999999999998</v>
      </c>
      <c r="E816" s="8">
        <v>103.374</v>
      </c>
      <c r="F816" s="13"/>
      <c r="G816" s="13" t="s">
        <v>38</v>
      </c>
      <c r="H816" s="13" t="s">
        <v>40</v>
      </c>
      <c r="I816" s="13" t="s">
        <v>41</v>
      </c>
      <c r="J816" s="17">
        <f t="shared" si="12"/>
        <v>2999.8101059999999</v>
      </c>
      <c r="K816" s="15" t="s">
        <v>16</v>
      </c>
      <c r="L816" s="13"/>
      <c r="M816" s="13"/>
      <c r="N816" s="14"/>
    </row>
    <row r="817" spans="1:14" x14ac:dyDescent="0.35">
      <c r="A817" s="16" t="s">
        <v>65</v>
      </c>
      <c r="B817" s="13" t="s">
        <v>54</v>
      </c>
      <c r="C817" s="12">
        <v>44921</v>
      </c>
      <c r="D817" s="8">
        <v>71.27</v>
      </c>
      <c r="E817" s="8">
        <v>70.152000000000001</v>
      </c>
      <c r="F817" s="13"/>
      <c r="G817" s="13" t="s">
        <v>38</v>
      </c>
      <c r="H817" s="13" t="s">
        <v>66</v>
      </c>
      <c r="I817" s="13" t="s">
        <v>55</v>
      </c>
      <c r="J817" s="17">
        <f t="shared" si="12"/>
        <v>4999.7330400000001</v>
      </c>
      <c r="K817" s="15" t="s">
        <v>16</v>
      </c>
      <c r="L817" s="13"/>
      <c r="M817" s="13"/>
      <c r="N817" s="14"/>
    </row>
    <row r="818" spans="1:14" x14ac:dyDescent="0.35">
      <c r="A818" s="16" t="s">
        <v>67</v>
      </c>
      <c r="B818" s="13" t="s">
        <v>54</v>
      </c>
      <c r="C818" s="12">
        <v>44921</v>
      </c>
      <c r="D818" s="8">
        <v>70.152000000000001</v>
      </c>
      <c r="E818" s="8">
        <v>71.27</v>
      </c>
      <c r="F818" s="13"/>
      <c r="G818" s="13" t="s">
        <v>38</v>
      </c>
      <c r="H818" s="13" t="s">
        <v>68</v>
      </c>
      <c r="I818" s="13" t="s">
        <v>55</v>
      </c>
      <c r="J818" s="17">
        <f t="shared" si="12"/>
        <v>4999.7330400000001</v>
      </c>
      <c r="K818" s="15" t="s">
        <v>16</v>
      </c>
      <c r="L818" s="13"/>
      <c r="M818" s="13"/>
      <c r="N818" s="14"/>
    </row>
    <row r="819" spans="1:14" x14ac:dyDescent="0.35">
      <c r="A819" s="16" t="s">
        <v>69</v>
      </c>
      <c r="B819" s="13" t="s">
        <v>54</v>
      </c>
      <c r="C819" s="12">
        <v>44931</v>
      </c>
      <c r="D819" s="8">
        <v>139.73599999999999</v>
      </c>
      <c r="E819" s="8">
        <v>71.56</v>
      </c>
      <c r="F819" s="13"/>
      <c r="G819" s="13" t="s">
        <v>13</v>
      </c>
      <c r="H819" s="13" t="s">
        <v>70</v>
      </c>
      <c r="I819" s="13" t="s">
        <v>55</v>
      </c>
      <c r="J819" s="17">
        <f t="shared" si="12"/>
        <v>9999.5081599999994</v>
      </c>
      <c r="K819" s="15" t="s">
        <v>16</v>
      </c>
      <c r="L819" s="13"/>
      <c r="M819" s="13"/>
      <c r="N819" s="14"/>
    </row>
    <row r="820" spans="1:14" x14ac:dyDescent="0.35">
      <c r="A820" s="16">
        <v>19915197402</v>
      </c>
      <c r="B820" s="13" t="s">
        <v>28</v>
      </c>
      <c r="C820" s="12">
        <v>44931</v>
      </c>
      <c r="D820" s="8">
        <v>138.92099999999999</v>
      </c>
      <c r="E820" s="8">
        <v>179.95</v>
      </c>
      <c r="F820" s="13"/>
      <c r="G820" s="13" t="s">
        <v>13</v>
      </c>
      <c r="H820" s="13" t="s">
        <v>29</v>
      </c>
      <c r="I820" s="13" t="s">
        <v>30</v>
      </c>
      <c r="J820" s="17">
        <f t="shared" si="12"/>
        <v>24998.833949999997</v>
      </c>
      <c r="K820" s="15" t="s">
        <v>16</v>
      </c>
      <c r="L820" s="13"/>
      <c r="M820" s="13"/>
      <c r="N820" s="14"/>
    </row>
    <row r="821" spans="1:14" x14ac:dyDescent="0.35">
      <c r="A821" s="16" t="s">
        <v>27</v>
      </c>
      <c r="B821" s="13" t="s">
        <v>56</v>
      </c>
      <c r="C821" s="12">
        <v>44931</v>
      </c>
      <c r="D821" s="8">
        <v>170.06</v>
      </c>
      <c r="E821" s="8">
        <v>11.76</v>
      </c>
      <c r="F821" s="13" t="s">
        <v>58</v>
      </c>
      <c r="G821" s="13" t="s">
        <v>13</v>
      </c>
      <c r="H821" s="13" t="s">
        <v>40</v>
      </c>
      <c r="I821" s="13" t="s">
        <v>57</v>
      </c>
      <c r="J821" s="17">
        <f t="shared" si="12"/>
        <v>1999.9056</v>
      </c>
      <c r="K821" s="15" t="s">
        <v>16</v>
      </c>
      <c r="L821" s="13"/>
      <c r="M821" s="13"/>
      <c r="N821" s="14"/>
    </row>
    <row r="822" spans="1:14" x14ac:dyDescent="0.35">
      <c r="A822" s="16" t="s">
        <v>24</v>
      </c>
      <c r="B822" s="13" t="s">
        <v>25</v>
      </c>
      <c r="C822" s="12">
        <v>44931</v>
      </c>
      <c r="D822" s="8">
        <v>490.95100000000002</v>
      </c>
      <c r="E822" s="8">
        <v>50.918999999999997</v>
      </c>
      <c r="F822" s="13"/>
      <c r="G822" s="13" t="s">
        <v>13</v>
      </c>
      <c r="H822" s="13" t="s">
        <v>14</v>
      </c>
      <c r="I822" s="13" t="s">
        <v>26</v>
      </c>
      <c r="J822" s="17">
        <f t="shared" si="12"/>
        <v>24998.733969000001</v>
      </c>
      <c r="K822" s="15" t="s">
        <v>16</v>
      </c>
      <c r="L822" s="13"/>
      <c r="M822" s="13"/>
      <c r="N822" s="14"/>
    </row>
    <row r="823" spans="1:14" x14ac:dyDescent="0.35">
      <c r="A823" s="16" t="s">
        <v>53</v>
      </c>
      <c r="B823" s="13" t="s">
        <v>54</v>
      </c>
      <c r="C823" s="12">
        <v>44937</v>
      </c>
      <c r="D823" s="8">
        <v>41.932000000000002</v>
      </c>
      <c r="E823" s="8">
        <v>71.540000000000006</v>
      </c>
      <c r="F823" s="13"/>
      <c r="G823" s="13" t="s">
        <v>38</v>
      </c>
      <c r="H823" s="13" t="s">
        <v>40</v>
      </c>
      <c r="I823" s="13" t="s">
        <v>55</v>
      </c>
      <c r="J823" s="17">
        <f t="shared" si="12"/>
        <v>2999.8152800000003</v>
      </c>
      <c r="K823" s="15" t="s">
        <v>16</v>
      </c>
      <c r="L823" s="13"/>
      <c r="M823" s="13"/>
      <c r="N823" s="14"/>
    </row>
    <row r="824" spans="1:14" x14ac:dyDescent="0.35">
      <c r="A824" s="16" t="s">
        <v>27</v>
      </c>
      <c r="B824" s="13" t="s">
        <v>56</v>
      </c>
      <c r="C824" s="12">
        <v>44937</v>
      </c>
      <c r="D824" s="8">
        <v>85.98</v>
      </c>
      <c r="E824" s="8">
        <v>11.63</v>
      </c>
      <c r="F824" s="13"/>
      <c r="G824" s="13" t="s">
        <v>13</v>
      </c>
      <c r="H824" s="13" t="s">
        <v>40</v>
      </c>
      <c r="I824" s="13" t="s">
        <v>57</v>
      </c>
      <c r="J824" s="17">
        <f t="shared" si="12"/>
        <v>999.94740000000013</v>
      </c>
      <c r="K824" s="15" t="s">
        <v>16</v>
      </c>
      <c r="L824" s="13"/>
      <c r="M824" s="13"/>
      <c r="N824" s="14"/>
    </row>
    <row r="825" spans="1:14" x14ac:dyDescent="0.35">
      <c r="A825" s="16">
        <v>79931510915</v>
      </c>
      <c r="B825" s="13" t="s">
        <v>39</v>
      </c>
      <c r="C825" s="12">
        <v>44937</v>
      </c>
      <c r="D825" s="8">
        <v>18.823</v>
      </c>
      <c r="E825" s="8">
        <v>106.25</v>
      </c>
      <c r="F825" s="13"/>
      <c r="G825" s="13" t="s">
        <v>38</v>
      </c>
      <c r="H825" s="13" t="s">
        <v>40</v>
      </c>
      <c r="I825" s="13" t="s">
        <v>41</v>
      </c>
      <c r="J825" s="17">
        <f t="shared" si="12"/>
        <v>1999.9437500000001</v>
      </c>
      <c r="K825" s="15" t="s">
        <v>16</v>
      </c>
      <c r="L825" s="13"/>
      <c r="M825" s="13"/>
      <c r="N825" s="14"/>
    </row>
    <row r="826" spans="1:14" x14ac:dyDescent="0.35">
      <c r="A826" s="16">
        <v>19915197402</v>
      </c>
      <c r="B826" s="13" t="s">
        <v>28</v>
      </c>
      <c r="C826" s="12">
        <v>44942</v>
      </c>
      <c r="D826" s="8">
        <v>140.26900000000001</v>
      </c>
      <c r="E826" s="8">
        <v>178.22</v>
      </c>
      <c r="F826" s="13"/>
      <c r="G826" s="13" t="s">
        <v>13</v>
      </c>
      <c r="H826" s="13" t="s">
        <v>29</v>
      </c>
      <c r="I826" s="13" t="s">
        <v>30</v>
      </c>
      <c r="J826" s="17">
        <f t="shared" si="12"/>
        <v>24998.741180000001</v>
      </c>
      <c r="K826" s="15" t="s">
        <v>16</v>
      </c>
      <c r="L826" s="13"/>
      <c r="M826" s="13"/>
      <c r="N826" s="14"/>
    </row>
    <row r="827" spans="1:14" x14ac:dyDescent="0.35">
      <c r="A827" s="16" t="s">
        <v>24</v>
      </c>
      <c r="B827" s="13" t="s">
        <v>25</v>
      </c>
      <c r="C827" s="12">
        <v>44942</v>
      </c>
      <c r="D827" s="8">
        <v>485.11799999999999</v>
      </c>
      <c r="E827" s="8">
        <v>51.531300000000002</v>
      </c>
      <c r="F827" s="13"/>
      <c r="G827" s="13" t="s">
        <v>13</v>
      </c>
      <c r="H827" s="13" t="s">
        <v>14</v>
      </c>
      <c r="I827" s="13" t="s">
        <v>26</v>
      </c>
      <c r="J827" s="17">
        <f t="shared" si="12"/>
        <v>24998.761193400002</v>
      </c>
      <c r="K827" s="15" t="s">
        <v>16</v>
      </c>
      <c r="L827" s="13"/>
      <c r="M827" s="13"/>
      <c r="N827" s="14"/>
    </row>
    <row r="828" spans="1:14" x14ac:dyDescent="0.35">
      <c r="A828" s="16" t="s">
        <v>49</v>
      </c>
      <c r="B828" s="13" t="s">
        <v>39</v>
      </c>
      <c r="C828" s="12">
        <v>44944</v>
      </c>
      <c r="D828" s="8">
        <v>23.638999999999999</v>
      </c>
      <c r="E828" s="8">
        <v>105.754</v>
      </c>
      <c r="F828" s="13"/>
      <c r="G828" s="13" t="s">
        <v>31</v>
      </c>
      <c r="H828" s="13" t="s">
        <v>40</v>
      </c>
      <c r="I828" s="13" t="s">
        <v>41</v>
      </c>
      <c r="J828" s="17">
        <f t="shared" si="12"/>
        <v>2499.9188060000001</v>
      </c>
      <c r="K828" s="15" t="s">
        <v>32</v>
      </c>
      <c r="L828" s="13"/>
      <c r="M828" s="13"/>
      <c r="N828" s="14"/>
    </row>
    <row r="829" spans="1:14" x14ac:dyDescent="0.35">
      <c r="A829" s="16" t="s">
        <v>65</v>
      </c>
      <c r="B829" s="13" t="s">
        <v>54</v>
      </c>
      <c r="C829" s="12">
        <v>44947</v>
      </c>
      <c r="D829" s="8">
        <v>71.13</v>
      </c>
      <c r="E829" s="8">
        <v>140.58099999999999</v>
      </c>
      <c r="F829" s="13" t="s">
        <v>58</v>
      </c>
      <c r="G829" s="13" t="s">
        <v>38</v>
      </c>
      <c r="H829" s="13" t="s">
        <v>66</v>
      </c>
      <c r="I829" s="13" t="s">
        <v>55</v>
      </c>
      <c r="J829" s="17">
        <f t="shared" si="12"/>
        <v>9999.5265299999992</v>
      </c>
      <c r="K829" s="15" t="s">
        <v>16</v>
      </c>
      <c r="L829" s="13"/>
      <c r="M829" s="13"/>
      <c r="N829" s="14"/>
    </row>
    <row r="830" spans="1:14" x14ac:dyDescent="0.35">
      <c r="A830" s="16" t="s">
        <v>67</v>
      </c>
      <c r="B830" s="13" t="s">
        <v>54</v>
      </c>
      <c r="C830" s="12">
        <v>44947</v>
      </c>
      <c r="D830" s="8">
        <v>140.58099999999999</v>
      </c>
      <c r="E830" s="8">
        <v>71.13</v>
      </c>
      <c r="F830" s="13" t="s">
        <v>58</v>
      </c>
      <c r="G830" s="13" t="s">
        <v>38</v>
      </c>
      <c r="H830" s="13" t="s">
        <v>68</v>
      </c>
      <c r="I830" s="13" t="s">
        <v>55</v>
      </c>
      <c r="J830" s="17">
        <f t="shared" si="12"/>
        <v>9999.5265299999992</v>
      </c>
      <c r="K830" s="15" t="s">
        <v>16</v>
      </c>
      <c r="L830" s="13"/>
      <c r="M830" s="13"/>
      <c r="N830" s="14"/>
    </row>
    <row r="831" spans="1:14" x14ac:dyDescent="0.35">
      <c r="A831" s="16">
        <v>79931510915</v>
      </c>
      <c r="B831" s="13" t="s">
        <v>39</v>
      </c>
      <c r="C831" s="12">
        <v>44949</v>
      </c>
      <c r="D831" s="8">
        <v>28.716999999999999</v>
      </c>
      <c r="E831" s="8">
        <v>104.462</v>
      </c>
      <c r="F831" s="13"/>
      <c r="G831" s="13" t="s">
        <v>38</v>
      </c>
      <c r="H831" s="13" t="s">
        <v>40</v>
      </c>
      <c r="I831" s="13" t="s">
        <v>41</v>
      </c>
      <c r="J831" s="17">
        <f t="shared" si="12"/>
        <v>2999.8352540000001</v>
      </c>
      <c r="K831" s="15" t="s">
        <v>16</v>
      </c>
      <c r="L831" s="13"/>
      <c r="M831" s="13"/>
      <c r="N831" s="14"/>
    </row>
    <row r="832" spans="1:14" x14ac:dyDescent="0.35">
      <c r="A832" s="16" t="s">
        <v>65</v>
      </c>
      <c r="B832" s="13" t="s">
        <v>54</v>
      </c>
      <c r="C832" s="12">
        <v>44951</v>
      </c>
      <c r="D832" s="8">
        <v>70.14</v>
      </c>
      <c r="E832" s="8">
        <v>71.281999999999996</v>
      </c>
      <c r="F832" s="13"/>
      <c r="G832" s="13" t="s">
        <v>38</v>
      </c>
      <c r="H832" s="13" t="s">
        <v>66</v>
      </c>
      <c r="I832" s="13" t="s">
        <v>55</v>
      </c>
      <c r="J832" s="17">
        <f t="shared" si="12"/>
        <v>4999.7194799999997</v>
      </c>
      <c r="K832" s="15" t="s">
        <v>16</v>
      </c>
      <c r="L832" s="13"/>
      <c r="M832" s="13"/>
      <c r="N832" s="14"/>
    </row>
    <row r="833" spans="1:14" x14ac:dyDescent="0.35">
      <c r="A833" s="16" t="s">
        <v>67</v>
      </c>
      <c r="B833" s="13" t="s">
        <v>54</v>
      </c>
      <c r="C833" s="12">
        <v>44951</v>
      </c>
      <c r="D833" s="8">
        <v>71.281999999999996</v>
      </c>
      <c r="E833" s="8">
        <v>70.14</v>
      </c>
      <c r="F833" s="13"/>
      <c r="G833" s="13" t="s">
        <v>38</v>
      </c>
      <c r="H833" s="13" t="s">
        <v>68</v>
      </c>
      <c r="I833" s="13" t="s">
        <v>55</v>
      </c>
      <c r="J833" s="17">
        <f t="shared" si="12"/>
        <v>4999.7194799999997</v>
      </c>
      <c r="K833" s="15" t="s">
        <v>16</v>
      </c>
      <c r="L833" s="13"/>
      <c r="M833" s="13"/>
      <c r="N833" s="14"/>
    </row>
    <row r="834" spans="1:14" x14ac:dyDescent="0.35">
      <c r="A834" s="16" t="s">
        <v>27</v>
      </c>
      <c r="B834" s="13" t="s">
        <v>56</v>
      </c>
      <c r="C834" s="12">
        <v>44968</v>
      </c>
      <c r="D834" s="8">
        <v>85.32</v>
      </c>
      <c r="E834" s="8">
        <v>11.72</v>
      </c>
      <c r="F834" s="13"/>
      <c r="G834" s="13" t="s">
        <v>13</v>
      </c>
      <c r="H834" s="13" t="s">
        <v>40</v>
      </c>
      <c r="I834" s="13" t="s">
        <v>57</v>
      </c>
      <c r="J834" s="17">
        <f t="shared" ref="J834:J897" si="13">D834*E834</f>
        <v>999.95039999999995</v>
      </c>
      <c r="K834" s="15" t="s">
        <v>16</v>
      </c>
      <c r="L834" s="13"/>
      <c r="M834" s="13"/>
      <c r="N834" s="14"/>
    </row>
    <row r="835" spans="1:14" x14ac:dyDescent="0.35">
      <c r="A835" s="16" t="s">
        <v>53</v>
      </c>
      <c r="B835" s="13" t="s">
        <v>54</v>
      </c>
      <c r="C835" s="12">
        <v>44970</v>
      </c>
      <c r="D835" s="8">
        <v>42.222000000000001</v>
      </c>
      <c r="E835" s="8">
        <v>71.05</v>
      </c>
      <c r="F835" s="13"/>
      <c r="G835" s="13" t="s">
        <v>38</v>
      </c>
      <c r="H835" s="13" t="s">
        <v>40</v>
      </c>
      <c r="I835" s="13" t="s">
        <v>55</v>
      </c>
      <c r="J835" s="17">
        <f t="shared" si="13"/>
        <v>2999.8730999999998</v>
      </c>
      <c r="K835" s="15" t="s">
        <v>16</v>
      </c>
      <c r="L835" s="13"/>
      <c r="M835" s="13"/>
      <c r="N835" s="14"/>
    </row>
    <row r="836" spans="1:14" x14ac:dyDescent="0.35">
      <c r="A836" s="16">
        <v>79931510915</v>
      </c>
      <c r="B836" s="13" t="s">
        <v>39</v>
      </c>
      <c r="C836" s="12">
        <v>44970</v>
      </c>
      <c r="D836" s="8">
        <v>19.123000000000001</v>
      </c>
      <c r="E836" s="8">
        <v>104.581</v>
      </c>
      <c r="F836" s="13"/>
      <c r="G836" s="13" t="s">
        <v>38</v>
      </c>
      <c r="H836" s="13" t="s">
        <v>40</v>
      </c>
      <c r="I836" s="13" t="s">
        <v>41</v>
      </c>
      <c r="J836" s="17">
        <f t="shared" si="13"/>
        <v>1999.9024630000001</v>
      </c>
      <c r="K836" s="15" t="s">
        <v>16</v>
      </c>
      <c r="L836" s="13"/>
      <c r="M836" s="13"/>
      <c r="N836" s="14"/>
    </row>
    <row r="837" spans="1:14" x14ac:dyDescent="0.35">
      <c r="A837" s="16" t="s">
        <v>49</v>
      </c>
      <c r="B837" s="13" t="s">
        <v>39</v>
      </c>
      <c r="C837" s="12">
        <v>44977</v>
      </c>
      <c r="D837" s="8">
        <v>23.954000000000001</v>
      </c>
      <c r="E837" s="8">
        <v>104.36</v>
      </c>
      <c r="F837" s="13"/>
      <c r="G837" s="13" t="s">
        <v>31</v>
      </c>
      <c r="H837" s="13" t="s">
        <v>40</v>
      </c>
      <c r="I837" s="13" t="s">
        <v>41</v>
      </c>
      <c r="J837" s="17">
        <f t="shared" si="13"/>
        <v>2499.8394400000002</v>
      </c>
      <c r="K837" s="15" t="s">
        <v>32</v>
      </c>
      <c r="L837" s="13"/>
      <c r="M837" s="13"/>
      <c r="N837" s="14"/>
    </row>
    <row r="838" spans="1:14" x14ac:dyDescent="0.35">
      <c r="A838" s="16">
        <v>79931510915</v>
      </c>
      <c r="B838" s="13" t="s">
        <v>39</v>
      </c>
      <c r="C838" s="12">
        <v>44979</v>
      </c>
      <c r="D838" s="8">
        <v>29.099</v>
      </c>
      <c r="E838" s="8">
        <v>103.092</v>
      </c>
      <c r="F838" s="13"/>
      <c r="G838" s="13" t="s">
        <v>38</v>
      </c>
      <c r="H838" s="13" t="s">
        <v>40</v>
      </c>
      <c r="I838" s="13" t="s">
        <v>41</v>
      </c>
      <c r="J838" s="17">
        <f t="shared" si="13"/>
        <v>2999.874108</v>
      </c>
      <c r="K838" s="15" t="s">
        <v>16</v>
      </c>
      <c r="L838" s="13"/>
      <c r="M838" s="13"/>
      <c r="N838" s="14"/>
    </row>
    <row r="839" spans="1:14" x14ac:dyDescent="0.35">
      <c r="A839" s="16">
        <v>19915197402</v>
      </c>
      <c r="B839" s="13" t="s">
        <v>28</v>
      </c>
      <c r="C839" s="12">
        <v>44981</v>
      </c>
      <c r="D839" s="8">
        <v>57.12</v>
      </c>
      <c r="E839" s="8">
        <v>175.06</v>
      </c>
      <c r="F839" s="13"/>
      <c r="G839" s="13" t="s">
        <v>13</v>
      </c>
      <c r="H839" s="13" t="s">
        <v>29</v>
      </c>
      <c r="I839" s="13" t="s">
        <v>30</v>
      </c>
      <c r="J839" s="17">
        <f t="shared" si="13"/>
        <v>9999.4272000000001</v>
      </c>
      <c r="K839" s="15" t="s">
        <v>16</v>
      </c>
      <c r="L839" s="13"/>
      <c r="M839" s="13"/>
      <c r="N839" s="14"/>
    </row>
    <row r="840" spans="1:14" x14ac:dyDescent="0.35">
      <c r="A840" s="16" t="s">
        <v>24</v>
      </c>
      <c r="B840" s="13" t="s">
        <v>25</v>
      </c>
      <c r="C840" s="12">
        <v>44981</v>
      </c>
      <c r="D840" s="8">
        <v>191.83600000000001</v>
      </c>
      <c r="E840" s="8">
        <v>52.1252</v>
      </c>
      <c r="F840" s="13"/>
      <c r="G840" s="13" t="s">
        <v>13</v>
      </c>
      <c r="H840" s="13" t="s">
        <v>14</v>
      </c>
      <c r="I840" s="13" t="s">
        <v>26</v>
      </c>
      <c r="J840" s="17">
        <f t="shared" si="13"/>
        <v>9999.4898671999999</v>
      </c>
      <c r="K840" s="15" t="s">
        <v>16</v>
      </c>
      <c r="L840" s="13"/>
      <c r="M840" s="13"/>
      <c r="N840" s="14"/>
    </row>
    <row r="841" spans="1:14" x14ac:dyDescent="0.35">
      <c r="A841" s="16" t="s">
        <v>65</v>
      </c>
      <c r="B841" s="13" t="s">
        <v>54</v>
      </c>
      <c r="C841" s="12">
        <v>44984</v>
      </c>
      <c r="D841" s="8">
        <v>69.88</v>
      </c>
      <c r="E841" s="8">
        <v>71.548000000000002</v>
      </c>
      <c r="F841" s="13"/>
      <c r="G841" s="13" t="s">
        <v>38</v>
      </c>
      <c r="H841" s="13" t="s">
        <v>66</v>
      </c>
      <c r="I841" s="13" t="s">
        <v>55</v>
      </c>
      <c r="J841" s="17">
        <f t="shared" si="13"/>
        <v>4999.7742399999997</v>
      </c>
      <c r="K841" s="15" t="s">
        <v>16</v>
      </c>
      <c r="L841" s="13"/>
      <c r="M841" s="13"/>
      <c r="N841" s="14"/>
    </row>
    <row r="842" spans="1:14" x14ac:dyDescent="0.35">
      <c r="A842" s="16" t="s">
        <v>67</v>
      </c>
      <c r="B842" s="13" t="s">
        <v>54</v>
      </c>
      <c r="C842" s="12">
        <v>44984</v>
      </c>
      <c r="D842" s="8">
        <v>71.548000000000002</v>
      </c>
      <c r="E842" s="8">
        <v>69.88</v>
      </c>
      <c r="F842" s="13"/>
      <c r="G842" s="13" t="s">
        <v>38</v>
      </c>
      <c r="H842" s="13" t="s">
        <v>68</v>
      </c>
      <c r="I842" s="13" t="s">
        <v>55</v>
      </c>
      <c r="J842" s="17">
        <f t="shared" si="13"/>
        <v>4999.7742399999997</v>
      </c>
      <c r="K842" s="15" t="s">
        <v>16</v>
      </c>
      <c r="L842" s="13"/>
      <c r="M842" s="13"/>
      <c r="N842" s="14"/>
    </row>
    <row r="843" spans="1:14" x14ac:dyDescent="0.35">
      <c r="A843" s="16">
        <v>19915197402</v>
      </c>
      <c r="B843" s="13" t="s">
        <v>28</v>
      </c>
      <c r="C843" s="12">
        <v>44987</v>
      </c>
      <c r="D843" s="8">
        <v>28.675000000000001</v>
      </c>
      <c r="E843" s="8">
        <v>174.36</v>
      </c>
      <c r="F843" s="13"/>
      <c r="G843" s="13" t="s">
        <v>13</v>
      </c>
      <c r="H843" s="13" t="s">
        <v>29</v>
      </c>
      <c r="I843" s="13" t="s">
        <v>30</v>
      </c>
      <c r="J843" s="17">
        <f t="shared" si="13"/>
        <v>4999.7730000000001</v>
      </c>
      <c r="K843" s="15" t="s">
        <v>16</v>
      </c>
      <c r="L843" s="13"/>
      <c r="M843" s="13"/>
      <c r="N843" s="14"/>
    </row>
    <row r="844" spans="1:14" x14ac:dyDescent="0.35">
      <c r="A844" s="16" t="s">
        <v>27</v>
      </c>
      <c r="B844" s="13" t="s">
        <v>71</v>
      </c>
      <c r="C844" s="12">
        <v>44987</v>
      </c>
      <c r="D844" s="8">
        <v>196.49600000000001</v>
      </c>
      <c r="E844" s="8">
        <v>25.47</v>
      </c>
      <c r="F844" s="13"/>
      <c r="G844" s="13" t="s">
        <v>13</v>
      </c>
      <c r="H844" s="13" t="s">
        <v>72</v>
      </c>
      <c r="I844" s="13" t="s">
        <v>73</v>
      </c>
      <c r="J844" s="17">
        <f t="shared" si="13"/>
        <v>5004.7531200000003</v>
      </c>
      <c r="K844" s="15" t="s">
        <v>16</v>
      </c>
      <c r="L844" s="13"/>
      <c r="M844" s="13"/>
      <c r="N844" s="14"/>
    </row>
    <row r="845" spans="1:14" x14ac:dyDescent="0.35">
      <c r="A845" s="16" t="s">
        <v>24</v>
      </c>
      <c r="B845" s="13" t="s">
        <v>25</v>
      </c>
      <c r="C845" s="12">
        <v>44987</v>
      </c>
      <c r="D845" s="8">
        <v>95.8</v>
      </c>
      <c r="E845" s="8">
        <v>52.188699999999997</v>
      </c>
      <c r="F845" s="13"/>
      <c r="G845" s="13" t="s">
        <v>13</v>
      </c>
      <c r="H845" s="13" t="s">
        <v>14</v>
      </c>
      <c r="I845" s="13" t="s">
        <v>26</v>
      </c>
      <c r="J845" s="17">
        <f t="shared" si="13"/>
        <v>4999.6774599999999</v>
      </c>
      <c r="K845" s="15" t="s">
        <v>16</v>
      </c>
      <c r="L845" s="13"/>
      <c r="M845" s="13"/>
      <c r="N845" s="14"/>
    </row>
    <row r="846" spans="1:14" x14ac:dyDescent="0.35">
      <c r="A846" s="16" t="s">
        <v>27</v>
      </c>
      <c r="B846" s="13" t="s">
        <v>56</v>
      </c>
      <c r="C846" s="12">
        <v>44996</v>
      </c>
      <c r="D846" s="8">
        <v>88.024000000000001</v>
      </c>
      <c r="E846" s="8">
        <v>11.36</v>
      </c>
      <c r="F846" s="13"/>
      <c r="G846" s="13" t="s">
        <v>13</v>
      </c>
      <c r="H846" s="13" t="s">
        <v>40</v>
      </c>
      <c r="I846" s="13" t="s">
        <v>57</v>
      </c>
      <c r="J846" s="17">
        <f t="shared" si="13"/>
        <v>999.95263999999997</v>
      </c>
      <c r="K846" s="15" t="s">
        <v>16</v>
      </c>
      <c r="L846" s="13"/>
      <c r="M846" s="13"/>
      <c r="N846" s="14"/>
    </row>
    <row r="847" spans="1:14" x14ac:dyDescent="0.35">
      <c r="A847" s="16" t="s">
        <v>53</v>
      </c>
      <c r="B847" s="13" t="s">
        <v>54</v>
      </c>
      <c r="C847" s="12">
        <v>44998</v>
      </c>
      <c r="D847" s="8">
        <v>43.088999999999999</v>
      </c>
      <c r="E847" s="8">
        <v>69.62</v>
      </c>
      <c r="F847" s="13"/>
      <c r="G847" s="13" t="s">
        <v>38</v>
      </c>
      <c r="H847" s="13" t="s">
        <v>40</v>
      </c>
      <c r="I847" s="13" t="s">
        <v>55</v>
      </c>
      <c r="J847" s="17">
        <f t="shared" si="13"/>
        <v>2999.8561800000002</v>
      </c>
      <c r="K847" s="15" t="s">
        <v>16</v>
      </c>
      <c r="L847" s="13"/>
      <c r="M847" s="13"/>
      <c r="N847" s="14"/>
    </row>
    <row r="848" spans="1:14" x14ac:dyDescent="0.35">
      <c r="A848" s="16" t="s">
        <v>65</v>
      </c>
      <c r="B848" s="13" t="s">
        <v>54</v>
      </c>
      <c r="C848" s="12">
        <v>44998</v>
      </c>
      <c r="D848" s="8">
        <v>69.09</v>
      </c>
      <c r="E848" s="8">
        <v>217.09800000000001</v>
      </c>
      <c r="F848" s="13" t="s">
        <v>58</v>
      </c>
      <c r="G848" s="13" t="s">
        <v>38</v>
      </c>
      <c r="H848" s="13" t="s">
        <v>66</v>
      </c>
      <c r="I848" s="13" t="s">
        <v>55</v>
      </c>
      <c r="J848" s="17">
        <f t="shared" si="13"/>
        <v>14999.300820000002</v>
      </c>
      <c r="K848" s="15" t="s">
        <v>16</v>
      </c>
      <c r="L848" s="13"/>
      <c r="M848" s="13"/>
      <c r="N848" s="14"/>
    </row>
    <row r="849" spans="1:14" x14ac:dyDescent="0.35">
      <c r="A849" s="16" t="s">
        <v>27</v>
      </c>
      <c r="B849" s="13" t="s">
        <v>71</v>
      </c>
      <c r="C849" s="12">
        <v>44998</v>
      </c>
      <c r="D849" s="8">
        <v>596.15499999999997</v>
      </c>
      <c r="E849" s="8">
        <v>25.16</v>
      </c>
      <c r="F849" s="13"/>
      <c r="G849" s="13" t="s">
        <v>13</v>
      </c>
      <c r="H849" s="13" t="s">
        <v>72</v>
      </c>
      <c r="I849" s="13" t="s">
        <v>73</v>
      </c>
      <c r="J849" s="17">
        <f t="shared" si="13"/>
        <v>14999.2598</v>
      </c>
      <c r="K849" s="15" t="s">
        <v>16</v>
      </c>
      <c r="L849" s="13"/>
      <c r="M849" s="13"/>
      <c r="N849" s="14"/>
    </row>
    <row r="850" spans="1:14" x14ac:dyDescent="0.35">
      <c r="A850" s="16">
        <v>79931510915</v>
      </c>
      <c r="B850" s="13" t="s">
        <v>39</v>
      </c>
      <c r="C850" s="12">
        <v>44998</v>
      </c>
      <c r="D850" s="8">
        <v>19.850999999999999</v>
      </c>
      <c r="E850" s="8">
        <v>100.744</v>
      </c>
      <c r="F850" s="13"/>
      <c r="G850" s="13" t="s">
        <v>38</v>
      </c>
      <c r="H850" s="13" t="s">
        <v>40</v>
      </c>
      <c r="I850" s="13" t="s">
        <v>41</v>
      </c>
      <c r="J850" s="17">
        <f t="shared" si="13"/>
        <v>1999.869144</v>
      </c>
      <c r="K850" s="15" t="s">
        <v>16</v>
      </c>
      <c r="L850" s="13"/>
      <c r="M850" s="13"/>
      <c r="N850" s="14"/>
    </row>
    <row r="851" spans="1:14" x14ac:dyDescent="0.35">
      <c r="A851" s="16" t="s">
        <v>67</v>
      </c>
      <c r="B851" s="13" t="s">
        <v>54</v>
      </c>
      <c r="C851" s="12">
        <v>44999</v>
      </c>
      <c r="D851" s="8">
        <v>217.34899999999999</v>
      </c>
      <c r="E851" s="8">
        <v>69.010000000000005</v>
      </c>
      <c r="F851" s="13" t="s">
        <v>58</v>
      </c>
      <c r="G851" s="13" t="s">
        <v>38</v>
      </c>
      <c r="H851" s="13" t="s">
        <v>68</v>
      </c>
      <c r="I851" s="13" t="s">
        <v>55</v>
      </c>
      <c r="J851" s="17">
        <f t="shared" si="13"/>
        <v>14999.254490000001</v>
      </c>
      <c r="K851" s="15" t="s">
        <v>16</v>
      </c>
      <c r="L851" s="13"/>
      <c r="M851" s="13"/>
      <c r="N851" s="14"/>
    </row>
    <row r="852" spans="1:14" x14ac:dyDescent="0.35">
      <c r="A852" s="16" t="s">
        <v>69</v>
      </c>
      <c r="B852" s="13" t="s">
        <v>54</v>
      </c>
      <c r="C852" s="12">
        <v>45000</v>
      </c>
      <c r="D852" s="8">
        <v>289.79899999999998</v>
      </c>
      <c r="E852" s="8">
        <v>69.010000000000005</v>
      </c>
      <c r="F852" s="13"/>
      <c r="G852" s="13" t="s">
        <v>13</v>
      </c>
      <c r="H852" s="13" t="s">
        <v>70</v>
      </c>
      <c r="I852" s="13" t="s">
        <v>55</v>
      </c>
      <c r="J852" s="17">
        <f t="shared" si="13"/>
        <v>19999.028989999999</v>
      </c>
      <c r="K852" s="15" t="s">
        <v>16</v>
      </c>
      <c r="L852" s="13"/>
      <c r="M852" s="13"/>
      <c r="N852" s="14"/>
    </row>
    <row r="853" spans="1:14" x14ac:dyDescent="0.35">
      <c r="A853" s="16" t="s">
        <v>27</v>
      </c>
      <c r="B853" s="13" t="s">
        <v>71</v>
      </c>
      <c r="C853" s="12">
        <v>45000</v>
      </c>
      <c r="D853" s="8">
        <v>1198.0229999999999</v>
      </c>
      <c r="E853" s="8">
        <v>25.04</v>
      </c>
      <c r="F853" s="13"/>
      <c r="G853" s="13" t="s">
        <v>13</v>
      </c>
      <c r="H853" s="13" t="s">
        <v>72</v>
      </c>
      <c r="I853" s="13" t="s">
        <v>73</v>
      </c>
      <c r="J853" s="17">
        <f t="shared" si="13"/>
        <v>29998.495919999998</v>
      </c>
      <c r="K853" s="15" t="s">
        <v>16</v>
      </c>
      <c r="L853" s="13"/>
      <c r="M853" s="13"/>
      <c r="N853" s="14"/>
    </row>
    <row r="854" spans="1:14" x14ac:dyDescent="0.35">
      <c r="A854" s="16" t="s">
        <v>27</v>
      </c>
      <c r="B854" s="13" t="s">
        <v>56</v>
      </c>
      <c r="C854" s="12">
        <v>45000</v>
      </c>
      <c r="D854" s="8">
        <v>353.02699999999999</v>
      </c>
      <c r="E854" s="8">
        <v>11.33</v>
      </c>
      <c r="F854" s="13" t="s">
        <v>58</v>
      </c>
      <c r="G854" s="13" t="s">
        <v>13</v>
      </c>
      <c r="H854" s="13" t="s">
        <v>40</v>
      </c>
      <c r="I854" s="13" t="s">
        <v>57</v>
      </c>
      <c r="J854" s="17">
        <f t="shared" si="13"/>
        <v>3999.7959099999998</v>
      </c>
      <c r="K854" s="15" t="s">
        <v>16</v>
      </c>
      <c r="L854" s="13"/>
      <c r="M854" s="13"/>
      <c r="N854" s="14"/>
    </row>
    <row r="855" spans="1:14" x14ac:dyDescent="0.35">
      <c r="A855" s="16" t="s">
        <v>49</v>
      </c>
      <c r="B855" s="13" t="s">
        <v>39</v>
      </c>
      <c r="C855" s="12">
        <v>45005</v>
      </c>
      <c r="D855" s="8">
        <v>24.765000000000001</v>
      </c>
      <c r="E855" s="8">
        <v>100.943</v>
      </c>
      <c r="F855" s="13"/>
      <c r="G855" s="13" t="s">
        <v>31</v>
      </c>
      <c r="H855" s="13" t="s">
        <v>40</v>
      </c>
      <c r="I855" s="13" t="s">
        <v>41</v>
      </c>
      <c r="J855" s="17">
        <f t="shared" si="13"/>
        <v>2499.8533950000001</v>
      </c>
      <c r="K855" s="15" t="s">
        <v>32</v>
      </c>
      <c r="L855" s="13"/>
      <c r="M855" s="13"/>
      <c r="N855" s="14"/>
    </row>
    <row r="856" spans="1:14" x14ac:dyDescent="0.35">
      <c r="A856" s="16">
        <v>79931510915</v>
      </c>
      <c r="B856" s="13" t="s">
        <v>39</v>
      </c>
      <c r="C856" s="12">
        <v>45007</v>
      </c>
      <c r="D856" s="8">
        <v>29.992000000000001</v>
      </c>
      <c r="E856" s="8">
        <v>100.023</v>
      </c>
      <c r="F856" s="13"/>
      <c r="G856" s="13" t="s">
        <v>38</v>
      </c>
      <c r="H856" s="13" t="s">
        <v>40</v>
      </c>
      <c r="I856" s="13" t="s">
        <v>41</v>
      </c>
      <c r="J856" s="17">
        <f t="shared" si="13"/>
        <v>2999.8898159999999</v>
      </c>
      <c r="K856" s="15" t="s">
        <v>16</v>
      </c>
      <c r="L856" s="13"/>
      <c r="M856" s="13"/>
      <c r="N856" s="14"/>
    </row>
    <row r="857" spans="1:14" x14ac:dyDescent="0.35">
      <c r="A857" s="16" t="s">
        <v>65</v>
      </c>
      <c r="B857" s="13" t="s">
        <v>54</v>
      </c>
      <c r="C857" s="12">
        <v>45012</v>
      </c>
      <c r="D857" s="8">
        <v>67.56</v>
      </c>
      <c r="E857" s="8">
        <v>74.004999999999995</v>
      </c>
      <c r="F857" s="13" t="s">
        <v>58</v>
      </c>
      <c r="G857" s="13" t="s">
        <v>38</v>
      </c>
      <c r="H857" s="13" t="s">
        <v>66</v>
      </c>
      <c r="I857" s="13" t="s">
        <v>55</v>
      </c>
      <c r="J857" s="17">
        <f t="shared" si="13"/>
        <v>4999.7777999999998</v>
      </c>
      <c r="K857" s="15" t="s">
        <v>16</v>
      </c>
      <c r="L857" s="13"/>
      <c r="M857" s="13"/>
      <c r="N857" s="14"/>
    </row>
    <row r="858" spans="1:14" x14ac:dyDescent="0.35">
      <c r="A858" s="16" t="s">
        <v>67</v>
      </c>
      <c r="B858" s="13" t="s">
        <v>54</v>
      </c>
      <c r="C858" s="12">
        <v>45012</v>
      </c>
      <c r="D858" s="8">
        <v>74.004999999999995</v>
      </c>
      <c r="E858" s="8">
        <v>67.56</v>
      </c>
      <c r="F858" s="13"/>
      <c r="G858" s="13" t="s">
        <v>38</v>
      </c>
      <c r="H858" s="13" t="s">
        <v>68</v>
      </c>
      <c r="I858" s="13" t="s">
        <v>55</v>
      </c>
      <c r="J858" s="17">
        <f t="shared" si="13"/>
        <v>4999.7777999999998</v>
      </c>
      <c r="K858" s="15" t="s">
        <v>16</v>
      </c>
      <c r="L858" s="13"/>
      <c r="M858" s="13"/>
      <c r="N858" s="14"/>
    </row>
    <row r="859" spans="1:14" x14ac:dyDescent="0.35">
      <c r="A859" s="16" t="s">
        <v>53</v>
      </c>
      <c r="B859" s="13" t="s">
        <v>54</v>
      </c>
      <c r="C859" s="12">
        <v>45027</v>
      </c>
      <c r="D859" s="8">
        <v>42.085000000000001</v>
      </c>
      <c r="E859" s="8">
        <v>71.28</v>
      </c>
      <c r="F859" s="13"/>
      <c r="G859" s="13" t="s">
        <v>38</v>
      </c>
      <c r="H859" s="13" t="s">
        <v>40</v>
      </c>
      <c r="I859" s="13" t="s">
        <v>55</v>
      </c>
      <c r="J859" s="17">
        <f t="shared" si="13"/>
        <v>2999.8188</v>
      </c>
      <c r="K859" s="15" t="s">
        <v>16</v>
      </c>
      <c r="L859" s="13"/>
      <c r="M859" s="13"/>
      <c r="N859" s="14"/>
    </row>
    <row r="860" spans="1:14" x14ac:dyDescent="0.35">
      <c r="A860" s="16" t="s">
        <v>27</v>
      </c>
      <c r="B860" s="13" t="s">
        <v>56</v>
      </c>
      <c r="C860" s="12">
        <v>45027</v>
      </c>
      <c r="D860" s="8">
        <v>84.313000000000002</v>
      </c>
      <c r="E860" s="8">
        <v>11.86</v>
      </c>
      <c r="F860" s="13"/>
      <c r="G860" s="13" t="s">
        <v>13</v>
      </c>
      <c r="H860" s="13" t="s">
        <v>40</v>
      </c>
      <c r="I860" s="13" t="s">
        <v>57</v>
      </c>
      <c r="J860" s="17">
        <f t="shared" si="13"/>
        <v>999.95218</v>
      </c>
      <c r="K860" s="15" t="s">
        <v>16</v>
      </c>
      <c r="L860" s="13"/>
      <c r="M860" s="13"/>
      <c r="N860" s="14"/>
    </row>
    <row r="861" spans="1:14" x14ac:dyDescent="0.35">
      <c r="A861" s="16">
        <v>79931510915</v>
      </c>
      <c r="B861" s="13" t="s">
        <v>39</v>
      </c>
      <c r="C861" s="12">
        <v>45030</v>
      </c>
      <c r="D861" s="8">
        <v>19.175000000000001</v>
      </c>
      <c r="E861" s="8">
        <v>104.29600000000001</v>
      </c>
      <c r="F861" s="13"/>
      <c r="G861" s="13" t="s">
        <v>38</v>
      </c>
      <c r="H861" s="13" t="s">
        <v>40</v>
      </c>
      <c r="I861" s="13" t="s">
        <v>41</v>
      </c>
      <c r="J861" s="17">
        <f t="shared" si="13"/>
        <v>1999.8758000000003</v>
      </c>
      <c r="K861" s="15" t="s">
        <v>16</v>
      </c>
      <c r="L861" s="13"/>
      <c r="M861" s="13"/>
      <c r="N861" s="14"/>
    </row>
    <row r="862" spans="1:14" x14ac:dyDescent="0.35">
      <c r="A862" s="16" t="s">
        <v>49</v>
      </c>
      <c r="B862" s="13" t="s">
        <v>39</v>
      </c>
      <c r="C862" s="12">
        <v>45034</v>
      </c>
      <c r="D862" s="8">
        <v>24.001999999999999</v>
      </c>
      <c r="E862" s="8">
        <v>104.155</v>
      </c>
      <c r="F862" s="13"/>
      <c r="G862" s="13" t="s">
        <v>31</v>
      </c>
      <c r="H862" s="13" t="s">
        <v>40</v>
      </c>
      <c r="I862" s="13" t="s">
        <v>41</v>
      </c>
      <c r="J862" s="17">
        <f t="shared" si="13"/>
        <v>2499.9283099999998</v>
      </c>
      <c r="K862" s="15" t="s">
        <v>32</v>
      </c>
      <c r="L862" s="13"/>
      <c r="M862" s="13"/>
      <c r="N862" s="14"/>
    </row>
    <row r="863" spans="1:14" x14ac:dyDescent="0.35">
      <c r="A863" s="16">
        <v>79931510915</v>
      </c>
      <c r="B863" s="13" t="s">
        <v>39</v>
      </c>
      <c r="C863" s="12">
        <v>45040</v>
      </c>
      <c r="D863" s="8">
        <v>28.593</v>
      </c>
      <c r="E863" s="8">
        <v>104.917</v>
      </c>
      <c r="F863" s="13"/>
      <c r="G863" s="13" t="s">
        <v>38</v>
      </c>
      <c r="H863" s="13" t="s">
        <v>40</v>
      </c>
      <c r="I863" s="13" t="s">
        <v>41</v>
      </c>
      <c r="J863" s="17">
        <f t="shared" si="13"/>
        <v>2999.8917810000003</v>
      </c>
      <c r="K863" s="15" t="s">
        <v>16</v>
      </c>
      <c r="L863" s="13"/>
      <c r="M863" s="13"/>
      <c r="N863" s="14"/>
    </row>
    <row r="864" spans="1:14" x14ac:dyDescent="0.35">
      <c r="A864" s="16" t="s">
        <v>65</v>
      </c>
      <c r="B864" s="13" t="s">
        <v>54</v>
      </c>
      <c r="C864" s="12">
        <v>45041</v>
      </c>
      <c r="D864" s="8">
        <v>71.97</v>
      </c>
      <c r="E864" s="8">
        <v>69.47</v>
      </c>
      <c r="F864" s="13"/>
      <c r="G864" s="13" t="s">
        <v>38</v>
      </c>
      <c r="H864" s="13" t="s">
        <v>66</v>
      </c>
      <c r="I864" s="13" t="s">
        <v>55</v>
      </c>
      <c r="J864" s="17">
        <f t="shared" si="13"/>
        <v>4999.7559000000001</v>
      </c>
      <c r="K864" s="15" t="s">
        <v>16</v>
      </c>
      <c r="L864" s="13"/>
      <c r="M864" s="13"/>
      <c r="N864" s="14"/>
    </row>
    <row r="865" spans="1:14" x14ac:dyDescent="0.35">
      <c r="A865" s="16" t="s">
        <v>67</v>
      </c>
      <c r="B865" s="13" t="s">
        <v>54</v>
      </c>
      <c r="C865" s="12">
        <v>45041</v>
      </c>
      <c r="D865" s="8">
        <v>69.47</v>
      </c>
      <c r="E865" s="8">
        <v>71.97</v>
      </c>
      <c r="F865" s="13"/>
      <c r="G865" s="13" t="s">
        <v>38</v>
      </c>
      <c r="H865" s="13" t="s">
        <v>68</v>
      </c>
      <c r="I865" s="13" t="s">
        <v>55</v>
      </c>
      <c r="J865" s="17">
        <f t="shared" si="13"/>
        <v>4999.7559000000001</v>
      </c>
      <c r="K865" s="15" t="s">
        <v>16</v>
      </c>
      <c r="L865" s="13"/>
      <c r="M865" s="13"/>
      <c r="N865" s="14"/>
    </row>
    <row r="866" spans="1:14" x14ac:dyDescent="0.35">
      <c r="A866" s="16" t="s">
        <v>27</v>
      </c>
      <c r="B866" s="13" t="s">
        <v>71</v>
      </c>
      <c r="C866" s="12">
        <v>45051</v>
      </c>
      <c r="D866" s="8">
        <v>378.12900000000002</v>
      </c>
      <c r="E866" s="8">
        <v>26.45</v>
      </c>
      <c r="F866" s="13"/>
      <c r="G866" s="13" t="s">
        <v>13</v>
      </c>
      <c r="H866" s="13" t="s">
        <v>72</v>
      </c>
      <c r="I866" s="13" t="s">
        <v>73</v>
      </c>
      <c r="J866" s="17">
        <f t="shared" si="13"/>
        <v>10001.512049999999</v>
      </c>
      <c r="K866" s="15" t="s">
        <v>16</v>
      </c>
      <c r="L866" s="13"/>
      <c r="M866" s="13"/>
      <c r="N866" s="14"/>
    </row>
    <row r="867" spans="1:14" x14ac:dyDescent="0.35">
      <c r="A867" s="16" t="s">
        <v>53</v>
      </c>
      <c r="B867" s="13" t="s">
        <v>54</v>
      </c>
      <c r="C867" s="12">
        <v>45057</v>
      </c>
      <c r="D867" s="8">
        <v>40.326000000000001</v>
      </c>
      <c r="E867" s="8">
        <v>74.39</v>
      </c>
      <c r="F867" s="13"/>
      <c r="G867" s="13" t="s">
        <v>38</v>
      </c>
      <c r="H867" s="13" t="s">
        <v>40</v>
      </c>
      <c r="I867" s="13" t="s">
        <v>55</v>
      </c>
      <c r="J867" s="17">
        <f t="shared" si="13"/>
        <v>2999.8511400000002</v>
      </c>
      <c r="K867" s="15" t="s">
        <v>16</v>
      </c>
      <c r="L867" s="13"/>
      <c r="M867" s="13"/>
      <c r="N867" s="14"/>
    </row>
    <row r="868" spans="1:14" x14ac:dyDescent="0.35">
      <c r="A868" s="16" t="s">
        <v>27</v>
      </c>
      <c r="B868" s="13" t="s">
        <v>56</v>
      </c>
      <c r="C868" s="12">
        <v>45057</v>
      </c>
      <c r="D868" s="8">
        <v>81.828999999999994</v>
      </c>
      <c r="E868" s="8">
        <v>12.22</v>
      </c>
      <c r="F868" s="13"/>
      <c r="G868" s="13" t="s">
        <v>13</v>
      </c>
      <c r="H868" s="13" t="s">
        <v>40</v>
      </c>
      <c r="I868" s="13" t="s">
        <v>57</v>
      </c>
      <c r="J868" s="17">
        <f t="shared" si="13"/>
        <v>999.95038</v>
      </c>
      <c r="K868" s="15" t="s">
        <v>16</v>
      </c>
      <c r="L868" s="13"/>
      <c r="M868" s="13"/>
      <c r="N868" s="14"/>
    </row>
    <row r="869" spans="1:14" x14ac:dyDescent="0.35">
      <c r="A869" s="16">
        <v>79931510915</v>
      </c>
      <c r="B869" s="13" t="s">
        <v>39</v>
      </c>
      <c r="C869" s="12">
        <v>45057</v>
      </c>
      <c r="D869" s="8">
        <v>18.559999999999999</v>
      </c>
      <c r="E869" s="8">
        <v>107.755</v>
      </c>
      <c r="F869" s="13"/>
      <c r="G869" s="13" t="s">
        <v>38</v>
      </c>
      <c r="H869" s="13" t="s">
        <v>40</v>
      </c>
      <c r="I869" s="13" t="s">
        <v>41</v>
      </c>
      <c r="J869" s="17">
        <f t="shared" si="13"/>
        <v>1999.9327999999998</v>
      </c>
      <c r="K869" s="15" t="s">
        <v>16</v>
      </c>
      <c r="L869" s="13"/>
      <c r="M869" s="13"/>
      <c r="N869" s="14"/>
    </row>
    <row r="870" spans="1:14" x14ac:dyDescent="0.35">
      <c r="A870" s="16" t="s">
        <v>27</v>
      </c>
      <c r="B870" s="13" t="s">
        <v>71</v>
      </c>
      <c r="C870" s="12">
        <v>45058</v>
      </c>
      <c r="D870" s="8">
        <v>559.25599999999997</v>
      </c>
      <c r="E870" s="8">
        <v>26.82</v>
      </c>
      <c r="F870" s="13"/>
      <c r="G870" s="13" t="s">
        <v>13</v>
      </c>
      <c r="H870" s="13" t="s">
        <v>72</v>
      </c>
      <c r="I870" s="13" t="s">
        <v>73</v>
      </c>
      <c r="J870" s="17">
        <f t="shared" si="13"/>
        <v>14999.245919999999</v>
      </c>
      <c r="K870" s="15" t="s">
        <v>16</v>
      </c>
      <c r="L870" s="13"/>
      <c r="M870" s="13"/>
      <c r="N870" s="14"/>
    </row>
    <row r="871" spans="1:14" x14ac:dyDescent="0.35">
      <c r="A871" s="16" t="s">
        <v>27</v>
      </c>
      <c r="B871" s="13" t="s">
        <v>56</v>
      </c>
      <c r="C871" s="12">
        <v>45058</v>
      </c>
      <c r="D871" s="8">
        <v>163.65799999999999</v>
      </c>
      <c r="E871" s="8">
        <v>12.22</v>
      </c>
      <c r="F871" s="13" t="s">
        <v>58</v>
      </c>
      <c r="G871" s="13" t="s">
        <v>13</v>
      </c>
      <c r="H871" s="13" t="s">
        <v>40</v>
      </c>
      <c r="I871" s="13" t="s">
        <v>57</v>
      </c>
      <c r="J871" s="17">
        <f t="shared" si="13"/>
        <v>1999.90076</v>
      </c>
      <c r="K871" s="15" t="s">
        <v>16</v>
      </c>
      <c r="L871" s="13"/>
      <c r="M871" s="13"/>
      <c r="N871" s="14"/>
    </row>
    <row r="872" spans="1:14" x14ac:dyDescent="0.35">
      <c r="A872" s="16" t="s">
        <v>49</v>
      </c>
      <c r="B872" s="13" t="s">
        <v>39</v>
      </c>
      <c r="C872" s="12">
        <v>45064</v>
      </c>
      <c r="D872" s="8">
        <v>23.274999999999999</v>
      </c>
      <c r="E872" s="8">
        <v>107.40600000000001</v>
      </c>
      <c r="F872" s="13"/>
      <c r="G872" s="13" t="s">
        <v>31</v>
      </c>
      <c r="H872" s="13" t="s">
        <v>40</v>
      </c>
      <c r="I872" s="13" t="s">
        <v>41</v>
      </c>
      <c r="J872" s="17">
        <f t="shared" si="13"/>
        <v>2499.8746500000002</v>
      </c>
      <c r="K872" s="15" t="s">
        <v>32</v>
      </c>
      <c r="L872" s="13"/>
      <c r="M872" s="13"/>
      <c r="N872" s="14"/>
    </row>
    <row r="873" spans="1:14" x14ac:dyDescent="0.35">
      <c r="A873" s="16">
        <v>79931510915</v>
      </c>
      <c r="B873" s="13" t="s">
        <v>39</v>
      </c>
      <c r="C873" s="12">
        <v>45068</v>
      </c>
      <c r="D873" s="8">
        <v>27.869</v>
      </c>
      <c r="E873" s="8">
        <v>107.642</v>
      </c>
      <c r="F873" s="13"/>
      <c r="G873" s="13" t="s">
        <v>38</v>
      </c>
      <c r="H873" s="13" t="s">
        <v>40</v>
      </c>
      <c r="I873" s="13" t="s">
        <v>41</v>
      </c>
      <c r="J873" s="17">
        <f t="shared" si="13"/>
        <v>2999.874898</v>
      </c>
      <c r="K873" s="15" t="s">
        <v>16</v>
      </c>
      <c r="L873" s="13"/>
      <c r="M873" s="13"/>
      <c r="N873" s="14"/>
    </row>
    <row r="874" spans="1:14" x14ac:dyDescent="0.35">
      <c r="A874" s="16" t="s">
        <v>74</v>
      </c>
      <c r="B874" s="13" t="s">
        <v>42</v>
      </c>
      <c r="C874" s="12">
        <v>45068</v>
      </c>
      <c r="D874" s="8">
        <v>22.877544110110552</v>
      </c>
      <c r="E874" s="8">
        <v>131.12639999999999</v>
      </c>
      <c r="F874" s="13"/>
      <c r="G874" s="13" t="s">
        <v>31</v>
      </c>
      <c r="H874" s="13" t="s">
        <v>40</v>
      </c>
      <c r="I874" s="13" t="s">
        <v>43</v>
      </c>
      <c r="J874" s="17">
        <f t="shared" si="13"/>
        <v>2999.85</v>
      </c>
      <c r="K874" s="15" t="s">
        <v>32</v>
      </c>
      <c r="L874" s="13"/>
      <c r="M874" s="13"/>
      <c r="N874" s="14"/>
    </row>
    <row r="875" spans="1:14" x14ac:dyDescent="0.35">
      <c r="A875" s="16" t="s">
        <v>27</v>
      </c>
      <c r="B875" s="13" t="s">
        <v>71</v>
      </c>
      <c r="C875" s="12">
        <v>45070</v>
      </c>
      <c r="D875" s="8">
        <v>921.44299999999998</v>
      </c>
      <c r="E875" s="8">
        <v>27.13</v>
      </c>
      <c r="F875" s="13"/>
      <c r="G875" s="13" t="s">
        <v>13</v>
      </c>
      <c r="H875" s="13" t="s">
        <v>72</v>
      </c>
      <c r="I875" s="13" t="s">
        <v>73</v>
      </c>
      <c r="J875" s="17">
        <f t="shared" si="13"/>
        <v>24998.748589999999</v>
      </c>
      <c r="K875" s="15" t="s">
        <v>16</v>
      </c>
      <c r="L875" s="13"/>
      <c r="M875" s="13"/>
      <c r="N875" s="14"/>
    </row>
    <row r="876" spans="1:14" x14ac:dyDescent="0.35">
      <c r="A876" s="16" t="s">
        <v>65</v>
      </c>
      <c r="B876" s="13" t="s">
        <v>54</v>
      </c>
      <c r="C876" s="12">
        <v>45071</v>
      </c>
      <c r="D876" s="8">
        <v>76.66</v>
      </c>
      <c r="E876" s="8">
        <v>65.22</v>
      </c>
      <c r="F876" s="13"/>
      <c r="G876" s="13" t="s">
        <v>38</v>
      </c>
      <c r="H876" s="13" t="s">
        <v>66</v>
      </c>
      <c r="I876" s="13" t="s">
        <v>55</v>
      </c>
      <c r="J876" s="17">
        <f t="shared" si="13"/>
        <v>4999.7651999999998</v>
      </c>
      <c r="K876" s="15" t="s">
        <v>16</v>
      </c>
      <c r="L876" s="13"/>
      <c r="M876" s="13"/>
      <c r="N876" s="14"/>
    </row>
    <row r="877" spans="1:14" x14ac:dyDescent="0.35">
      <c r="A877" s="16" t="s">
        <v>67</v>
      </c>
      <c r="B877" s="13" t="s">
        <v>54</v>
      </c>
      <c r="C877" s="12">
        <v>45071</v>
      </c>
      <c r="D877" s="8">
        <v>65.22</v>
      </c>
      <c r="E877" s="8">
        <v>76.66</v>
      </c>
      <c r="F877" s="13"/>
      <c r="G877" s="13" t="s">
        <v>38</v>
      </c>
      <c r="H877" s="13" t="s">
        <v>68</v>
      </c>
      <c r="I877" s="13" t="s">
        <v>55</v>
      </c>
      <c r="J877" s="17">
        <f t="shared" si="13"/>
        <v>4999.7651999999998</v>
      </c>
      <c r="K877" s="15" t="s">
        <v>16</v>
      </c>
      <c r="L877" s="13"/>
      <c r="M877" s="13"/>
      <c r="N877" s="14"/>
    </row>
    <row r="878" spans="1:14" x14ac:dyDescent="0.35">
      <c r="A878" s="16" t="s">
        <v>69</v>
      </c>
      <c r="B878" s="13" t="s">
        <v>54</v>
      </c>
      <c r="C878" s="12">
        <v>45085</v>
      </c>
      <c r="D878" s="8">
        <v>632.54300000000001</v>
      </c>
      <c r="E878" s="8">
        <v>79.05</v>
      </c>
      <c r="F878" s="13"/>
      <c r="G878" s="13" t="s">
        <v>13</v>
      </c>
      <c r="H878" s="13" t="s">
        <v>70</v>
      </c>
      <c r="I878" s="13" t="s">
        <v>55</v>
      </c>
      <c r="J878" s="17">
        <f t="shared" si="13"/>
        <v>50002.524149999997</v>
      </c>
      <c r="K878" s="15" t="s">
        <v>16</v>
      </c>
      <c r="L878" s="13"/>
      <c r="M878" s="13"/>
      <c r="N878" s="14"/>
    </row>
    <row r="879" spans="1:14" x14ac:dyDescent="0.35">
      <c r="A879" s="16" t="s">
        <v>27</v>
      </c>
      <c r="B879" s="13" t="s">
        <v>56</v>
      </c>
      <c r="C879" s="12">
        <v>45085</v>
      </c>
      <c r="D879" s="8">
        <v>158.00299999999999</v>
      </c>
      <c r="E879" s="8">
        <v>12.67</v>
      </c>
      <c r="F879" s="13" t="s">
        <v>58</v>
      </c>
      <c r="G879" s="13" t="s">
        <v>13</v>
      </c>
      <c r="H879" s="13" t="s">
        <v>40</v>
      </c>
      <c r="I879" s="13" t="s">
        <v>57</v>
      </c>
      <c r="J879" s="17">
        <f t="shared" si="13"/>
        <v>2001.8980099999999</v>
      </c>
      <c r="K879" s="15" t="s">
        <v>16</v>
      </c>
      <c r="L879" s="13"/>
      <c r="M879" s="13"/>
      <c r="N879" s="14"/>
    </row>
    <row r="880" spans="1:14" x14ac:dyDescent="0.35">
      <c r="A880" s="16" t="s">
        <v>37</v>
      </c>
      <c r="B880" s="13" t="s">
        <v>25</v>
      </c>
      <c r="C880" s="12">
        <v>45085</v>
      </c>
      <c r="D880" s="8">
        <v>4303.08</v>
      </c>
      <c r="E880" s="8">
        <v>58.097299999999997</v>
      </c>
      <c r="F880" s="13"/>
      <c r="G880" s="13" t="s">
        <v>38</v>
      </c>
      <c r="H880" s="13"/>
      <c r="I880" s="13" t="s">
        <v>26</v>
      </c>
      <c r="J880" s="17">
        <f t="shared" si="13"/>
        <v>249997.329684</v>
      </c>
      <c r="K880" s="15" t="s">
        <v>16</v>
      </c>
      <c r="L880" s="13"/>
      <c r="M880" s="13"/>
      <c r="N880" s="14"/>
    </row>
    <row r="881" spans="1:14" x14ac:dyDescent="0.35">
      <c r="A881" s="16" t="s">
        <v>69</v>
      </c>
      <c r="B881" s="13" t="s">
        <v>54</v>
      </c>
      <c r="C881" s="12">
        <v>45089</v>
      </c>
      <c r="D881" s="8">
        <v>631.21400000000006</v>
      </c>
      <c r="E881" s="8">
        <v>79.209999999999994</v>
      </c>
      <c r="F881" s="13"/>
      <c r="G881" s="13" t="s">
        <v>13</v>
      </c>
      <c r="H881" s="13" t="s">
        <v>70</v>
      </c>
      <c r="I881" s="13" t="s">
        <v>55</v>
      </c>
      <c r="J881" s="17">
        <f t="shared" si="13"/>
        <v>49998.460939999997</v>
      </c>
      <c r="K881" s="15" t="s">
        <v>16</v>
      </c>
      <c r="L881" s="13"/>
      <c r="M881" s="13"/>
      <c r="N881" s="14"/>
    </row>
    <row r="882" spans="1:14" x14ac:dyDescent="0.35">
      <c r="A882" s="16" t="s">
        <v>53</v>
      </c>
      <c r="B882" s="13" t="s">
        <v>54</v>
      </c>
      <c r="C882" s="12">
        <v>45089</v>
      </c>
      <c r="D882" s="8">
        <v>37.447000000000003</v>
      </c>
      <c r="E882" s="8">
        <v>80.11</v>
      </c>
      <c r="F882" s="13"/>
      <c r="G882" s="13" t="s">
        <v>38</v>
      </c>
      <c r="H882" s="13" t="s">
        <v>40</v>
      </c>
      <c r="I882" s="13" t="s">
        <v>55</v>
      </c>
      <c r="J882" s="17">
        <f t="shared" si="13"/>
        <v>2999.8791700000002</v>
      </c>
      <c r="K882" s="15" t="s">
        <v>16</v>
      </c>
      <c r="L882" s="13"/>
      <c r="M882" s="13"/>
      <c r="N882" s="14"/>
    </row>
    <row r="883" spans="1:14" x14ac:dyDescent="0.35">
      <c r="A883" s="16" t="s">
        <v>27</v>
      </c>
      <c r="B883" s="13" t="s">
        <v>56</v>
      </c>
      <c r="C883" s="12">
        <v>45089</v>
      </c>
      <c r="D883" s="8">
        <v>78.366</v>
      </c>
      <c r="E883" s="8">
        <v>12.76</v>
      </c>
      <c r="F883" s="13"/>
      <c r="G883" s="13" t="s">
        <v>13</v>
      </c>
      <c r="H883" s="13" t="s">
        <v>40</v>
      </c>
      <c r="I883" s="13" t="s">
        <v>57</v>
      </c>
      <c r="J883" s="17">
        <f t="shared" si="13"/>
        <v>999.95015999999998</v>
      </c>
      <c r="K883" s="15" t="s">
        <v>16</v>
      </c>
      <c r="L883" s="13"/>
      <c r="M883" s="13"/>
      <c r="N883" s="14"/>
    </row>
    <row r="884" spans="1:14" x14ac:dyDescent="0.35">
      <c r="A884" s="16">
        <v>79931510915</v>
      </c>
      <c r="B884" s="13" t="s">
        <v>39</v>
      </c>
      <c r="C884" s="12">
        <v>45089</v>
      </c>
      <c r="D884" s="8">
        <v>17.850000000000001</v>
      </c>
      <c r="E884" s="8">
        <v>112.03700000000001</v>
      </c>
      <c r="F884" s="13"/>
      <c r="G884" s="13" t="s">
        <v>38</v>
      </c>
      <c r="H884" s="13" t="s">
        <v>40</v>
      </c>
      <c r="I884" s="13" t="s">
        <v>41</v>
      </c>
      <c r="J884" s="17">
        <f t="shared" si="13"/>
        <v>1999.8604500000004</v>
      </c>
      <c r="K884" s="15" t="s">
        <v>16</v>
      </c>
      <c r="L884" s="13"/>
      <c r="M884" s="13"/>
      <c r="N884" s="14"/>
    </row>
    <row r="885" spans="1:14" x14ac:dyDescent="0.35">
      <c r="A885" s="16" t="s">
        <v>37</v>
      </c>
      <c r="B885" s="13" t="s">
        <v>25</v>
      </c>
      <c r="C885" s="12">
        <v>45092</v>
      </c>
      <c r="D885" s="8">
        <v>4350.3500000000004</v>
      </c>
      <c r="E885" s="8">
        <v>58.613100000000003</v>
      </c>
      <c r="F885" s="13"/>
      <c r="G885" s="13" t="s">
        <v>38</v>
      </c>
      <c r="H885" s="13"/>
      <c r="I885" s="13" t="s">
        <v>26</v>
      </c>
      <c r="J885" s="17">
        <f t="shared" si="13"/>
        <v>254987.49958500004</v>
      </c>
      <c r="K885" s="15" t="s">
        <v>16</v>
      </c>
      <c r="L885" s="13"/>
      <c r="M885" s="13"/>
      <c r="N885" s="14"/>
    </row>
    <row r="886" spans="1:14" x14ac:dyDescent="0.35">
      <c r="A886" s="16" t="s">
        <v>64</v>
      </c>
      <c r="B886" s="13" t="s">
        <v>54</v>
      </c>
      <c r="C886" s="12">
        <v>45092</v>
      </c>
      <c r="D886" s="8">
        <v>311.35599999999999</v>
      </c>
      <c r="E886" s="8">
        <v>80.290000000000006</v>
      </c>
      <c r="F886" s="13"/>
      <c r="G886" s="13" t="s">
        <v>31</v>
      </c>
      <c r="H886" s="13"/>
      <c r="I886" s="13" t="s">
        <v>55</v>
      </c>
      <c r="J886" s="17">
        <f t="shared" si="13"/>
        <v>24998.773240000002</v>
      </c>
      <c r="K886" s="15" t="s">
        <v>32</v>
      </c>
      <c r="L886" s="13"/>
      <c r="M886" s="13"/>
      <c r="N886" s="14"/>
    </row>
    <row r="887" spans="1:14" x14ac:dyDescent="0.35">
      <c r="A887" s="16" t="s">
        <v>49</v>
      </c>
      <c r="B887" s="13" t="s">
        <v>39</v>
      </c>
      <c r="C887" s="12">
        <v>45096</v>
      </c>
      <c r="D887" s="8">
        <v>21.997</v>
      </c>
      <c r="E887" s="8">
        <v>113.64700000000001</v>
      </c>
      <c r="F887" s="13"/>
      <c r="G887" s="13" t="s">
        <v>31</v>
      </c>
      <c r="H887" s="13" t="s">
        <v>40</v>
      </c>
      <c r="I887" s="13" t="s">
        <v>41</v>
      </c>
      <c r="J887" s="17">
        <f t="shared" si="13"/>
        <v>2499.893059</v>
      </c>
      <c r="K887" s="15" t="s">
        <v>32</v>
      </c>
      <c r="L887" s="13"/>
      <c r="M887" s="13"/>
      <c r="N887" s="14"/>
    </row>
    <row r="888" spans="1:14" x14ac:dyDescent="0.35">
      <c r="A888" s="16" t="s">
        <v>74</v>
      </c>
      <c r="B888" s="13" t="s">
        <v>42</v>
      </c>
      <c r="C888" s="12">
        <v>45098</v>
      </c>
      <c r="D888" s="8">
        <v>21.760999999999999</v>
      </c>
      <c r="E888" s="8">
        <v>137.8518</v>
      </c>
      <c r="F888" s="13"/>
      <c r="G888" s="13" t="s">
        <v>31</v>
      </c>
      <c r="H888" s="13" t="s">
        <v>40</v>
      </c>
      <c r="I888" s="13" t="s">
        <v>43</v>
      </c>
      <c r="J888" s="17">
        <f t="shared" si="13"/>
        <v>2999.7930197999999</v>
      </c>
      <c r="K888" s="15" t="s">
        <v>32</v>
      </c>
      <c r="L888" s="13"/>
      <c r="M888" s="13"/>
      <c r="N888" s="14"/>
    </row>
    <row r="889" spans="1:14" x14ac:dyDescent="0.35">
      <c r="A889" s="16">
        <v>79931510915</v>
      </c>
      <c r="B889" s="13" t="s">
        <v>39</v>
      </c>
      <c r="C889" s="12">
        <v>45099</v>
      </c>
      <c r="D889" s="8">
        <v>26.552</v>
      </c>
      <c r="E889" s="8">
        <v>112.979</v>
      </c>
      <c r="F889" s="13"/>
      <c r="G889" s="13" t="s">
        <v>38</v>
      </c>
      <c r="H889" s="13" t="s">
        <v>40</v>
      </c>
      <c r="I889" s="13" t="s">
        <v>41</v>
      </c>
      <c r="J889" s="17">
        <f t="shared" si="13"/>
        <v>2999.8184080000001</v>
      </c>
      <c r="K889" s="15" t="s">
        <v>16</v>
      </c>
      <c r="L889" s="13"/>
      <c r="M889" s="13"/>
      <c r="N889" s="14"/>
    </row>
    <row r="890" spans="1:14" x14ac:dyDescent="0.35">
      <c r="A890" s="16" t="s">
        <v>65</v>
      </c>
      <c r="B890" s="13" t="s">
        <v>54</v>
      </c>
      <c r="C890" s="12">
        <v>45103</v>
      </c>
      <c r="D890" s="8">
        <v>81.12</v>
      </c>
      <c r="E890" s="8">
        <v>61.634</v>
      </c>
      <c r="F890" s="13"/>
      <c r="G890" s="13" t="s">
        <v>38</v>
      </c>
      <c r="H890" s="13" t="s">
        <v>66</v>
      </c>
      <c r="I890" s="13" t="s">
        <v>55</v>
      </c>
      <c r="J890" s="17">
        <f t="shared" si="13"/>
        <v>4999.7500800000007</v>
      </c>
      <c r="K890" s="15" t="s">
        <v>16</v>
      </c>
      <c r="L890" s="13"/>
      <c r="M890" s="13"/>
      <c r="N890" s="14"/>
    </row>
    <row r="891" spans="1:14" x14ac:dyDescent="0.35">
      <c r="A891" s="16" t="s">
        <v>67</v>
      </c>
      <c r="B891" s="13" t="s">
        <v>54</v>
      </c>
      <c r="C891" s="12">
        <v>45103</v>
      </c>
      <c r="D891" s="8">
        <v>61.634</v>
      </c>
      <c r="E891" s="8">
        <v>81.12</v>
      </c>
      <c r="F891" s="13"/>
      <c r="G891" s="13" t="s">
        <v>38</v>
      </c>
      <c r="H891" s="13" t="s">
        <v>68</v>
      </c>
      <c r="I891" s="13" t="s">
        <v>55</v>
      </c>
      <c r="J891" s="17">
        <f t="shared" si="13"/>
        <v>4999.7500800000007</v>
      </c>
      <c r="K891" s="15" t="s">
        <v>16</v>
      </c>
      <c r="L891" s="13"/>
      <c r="M891" s="13"/>
      <c r="N891" s="14"/>
    </row>
    <row r="892" spans="1:14" x14ac:dyDescent="0.35">
      <c r="A892" s="16">
        <v>19915197402</v>
      </c>
      <c r="B892" s="13" t="s">
        <v>28</v>
      </c>
      <c r="C892" s="12">
        <v>45114</v>
      </c>
      <c r="D892" s="8">
        <v>76.397999999999996</v>
      </c>
      <c r="E892" s="8">
        <v>196.33</v>
      </c>
      <c r="F892" s="13"/>
      <c r="G892" s="13" t="s">
        <v>13</v>
      </c>
      <c r="H892" s="13" t="s">
        <v>29</v>
      </c>
      <c r="I892" s="13" t="s">
        <v>30</v>
      </c>
      <c r="J892" s="17">
        <f t="shared" si="13"/>
        <v>14999.21934</v>
      </c>
      <c r="K892" s="15" t="s">
        <v>16</v>
      </c>
      <c r="L892" s="13"/>
      <c r="M892" s="13"/>
      <c r="N892" s="14"/>
    </row>
    <row r="893" spans="1:14" x14ac:dyDescent="0.35">
      <c r="A893" s="16" t="s">
        <v>27</v>
      </c>
      <c r="B893" s="13" t="s">
        <v>71</v>
      </c>
      <c r="C893" s="12">
        <v>45114</v>
      </c>
      <c r="D893" s="8">
        <v>339.19600000000003</v>
      </c>
      <c r="E893" s="8">
        <v>29.48</v>
      </c>
      <c r="F893" s="13"/>
      <c r="G893" s="13" t="s">
        <v>13</v>
      </c>
      <c r="H893" s="13" t="s">
        <v>72</v>
      </c>
      <c r="I893" s="13" t="s">
        <v>73</v>
      </c>
      <c r="J893" s="17">
        <f t="shared" si="13"/>
        <v>9999.4980800000012</v>
      </c>
      <c r="K893" s="15" t="s">
        <v>16</v>
      </c>
      <c r="L893" s="13"/>
      <c r="M893" s="13"/>
      <c r="N893" s="14"/>
    </row>
    <row r="894" spans="1:14" x14ac:dyDescent="0.35">
      <c r="A894" s="16" t="s">
        <v>53</v>
      </c>
      <c r="B894" s="13" t="s">
        <v>54</v>
      </c>
      <c r="C894" s="12">
        <v>45118</v>
      </c>
      <c r="D894" s="8">
        <v>36.326999999999998</v>
      </c>
      <c r="E894" s="8">
        <v>82.58</v>
      </c>
      <c r="F894" s="13"/>
      <c r="G894" s="13" t="s">
        <v>38</v>
      </c>
      <c r="H894" s="13" t="s">
        <v>40</v>
      </c>
      <c r="I894" s="13" t="s">
        <v>55</v>
      </c>
      <c r="J894" s="17">
        <f t="shared" si="13"/>
        <v>2999.88366</v>
      </c>
      <c r="K894" s="15" t="s">
        <v>16</v>
      </c>
      <c r="L894" s="13"/>
      <c r="M894" s="13"/>
      <c r="N894" s="14"/>
    </row>
    <row r="895" spans="1:14" x14ac:dyDescent="0.35">
      <c r="A895" s="16" t="s">
        <v>27</v>
      </c>
      <c r="B895" s="13" t="s">
        <v>56</v>
      </c>
      <c r="C895" s="12">
        <v>45118</v>
      </c>
      <c r="D895" s="8">
        <v>75.015000000000001</v>
      </c>
      <c r="E895" s="8">
        <v>13.33</v>
      </c>
      <c r="F895" s="13"/>
      <c r="G895" s="13" t="s">
        <v>13</v>
      </c>
      <c r="H895" s="13" t="s">
        <v>40</v>
      </c>
      <c r="I895" s="13" t="s">
        <v>57</v>
      </c>
      <c r="J895" s="17">
        <f t="shared" si="13"/>
        <v>999.94995000000006</v>
      </c>
      <c r="K895" s="15" t="s">
        <v>16</v>
      </c>
      <c r="L895" s="13"/>
      <c r="M895" s="13"/>
      <c r="N895" s="14"/>
    </row>
    <row r="896" spans="1:14" x14ac:dyDescent="0.35">
      <c r="A896" s="16">
        <v>79931510915</v>
      </c>
      <c r="B896" s="13" t="s">
        <v>39</v>
      </c>
      <c r="C896" s="12">
        <v>45118</v>
      </c>
      <c r="D896" s="8">
        <v>17.172999999999998</v>
      </c>
      <c r="E896" s="8">
        <v>116.459</v>
      </c>
      <c r="F896" s="13"/>
      <c r="G896" s="13" t="s">
        <v>38</v>
      </c>
      <c r="H896" s="13" t="s">
        <v>40</v>
      </c>
      <c r="I896" s="13" t="s">
        <v>41</v>
      </c>
      <c r="J896" s="17">
        <f t="shared" si="13"/>
        <v>1999.9504069999998</v>
      </c>
      <c r="K896" s="15" t="s">
        <v>16</v>
      </c>
      <c r="L896" s="13"/>
      <c r="M896" s="13"/>
      <c r="N896" s="14"/>
    </row>
    <row r="897" spans="1:14" x14ac:dyDescent="0.35">
      <c r="A897" s="16" t="s">
        <v>49</v>
      </c>
      <c r="B897" s="13" t="s">
        <v>39</v>
      </c>
      <c r="C897" s="12">
        <v>45125</v>
      </c>
      <c r="D897" s="8">
        <v>20.963999999999999</v>
      </c>
      <c r="E897" s="8">
        <v>119.244</v>
      </c>
      <c r="F897" s="13"/>
      <c r="G897" s="13" t="s">
        <v>31</v>
      </c>
      <c r="H897" s="13" t="s">
        <v>40</v>
      </c>
      <c r="I897" s="13" t="s">
        <v>41</v>
      </c>
      <c r="J897" s="17">
        <f t="shared" si="13"/>
        <v>2499.831216</v>
      </c>
      <c r="K897" s="15" t="s">
        <v>32</v>
      </c>
      <c r="L897" s="13"/>
      <c r="M897" s="13"/>
      <c r="N897" s="14"/>
    </row>
    <row r="898" spans="1:14" x14ac:dyDescent="0.35">
      <c r="A898" s="16" t="s">
        <v>74</v>
      </c>
      <c r="B898" s="13" t="s">
        <v>42</v>
      </c>
      <c r="C898" s="12">
        <v>45127</v>
      </c>
      <c r="D898" s="8">
        <v>20.969000000000001</v>
      </c>
      <c r="E898" s="8">
        <v>143.0615</v>
      </c>
      <c r="F898" s="13"/>
      <c r="G898" s="13" t="s">
        <v>31</v>
      </c>
      <c r="H898" s="13" t="s">
        <v>40</v>
      </c>
      <c r="I898" s="13" t="s">
        <v>43</v>
      </c>
      <c r="J898" s="17">
        <f t="shared" ref="J898:J961" si="14">D898*E898</f>
        <v>2999.8565935000001</v>
      </c>
      <c r="K898" s="15" t="s">
        <v>32</v>
      </c>
      <c r="L898" s="13"/>
      <c r="M898" s="13"/>
      <c r="N898" s="14"/>
    </row>
    <row r="899" spans="1:14" x14ac:dyDescent="0.35">
      <c r="A899" s="16">
        <v>79931510915</v>
      </c>
      <c r="B899" s="13" t="s">
        <v>39</v>
      </c>
      <c r="C899" s="12">
        <v>45131</v>
      </c>
      <c r="D899" s="8">
        <v>25.23</v>
      </c>
      <c r="E899" s="8">
        <v>118.899</v>
      </c>
      <c r="F899" s="13"/>
      <c r="G899" s="13" t="s">
        <v>38</v>
      </c>
      <c r="H899" s="13" t="s">
        <v>40</v>
      </c>
      <c r="I899" s="13" t="s">
        <v>41</v>
      </c>
      <c r="J899" s="17">
        <f t="shared" si="14"/>
        <v>2999.82177</v>
      </c>
      <c r="K899" s="15" t="s">
        <v>16</v>
      </c>
      <c r="L899" s="13"/>
      <c r="M899" s="13"/>
      <c r="N899" s="14"/>
    </row>
    <row r="900" spans="1:14" x14ac:dyDescent="0.35">
      <c r="A900" s="16" t="s">
        <v>65</v>
      </c>
      <c r="B900" s="13" t="s">
        <v>54</v>
      </c>
      <c r="C900" s="12">
        <v>45132</v>
      </c>
      <c r="D900" s="8">
        <v>82.8</v>
      </c>
      <c r="E900" s="8">
        <v>60.383000000000003</v>
      </c>
      <c r="F900" s="13"/>
      <c r="G900" s="13" t="s">
        <v>38</v>
      </c>
      <c r="H900" s="13" t="s">
        <v>66</v>
      </c>
      <c r="I900" s="13" t="s">
        <v>55</v>
      </c>
      <c r="J900" s="17">
        <f t="shared" si="14"/>
        <v>4999.7124000000003</v>
      </c>
      <c r="K900" s="15" t="s">
        <v>16</v>
      </c>
      <c r="L900" s="13"/>
      <c r="M900" s="13"/>
      <c r="N900" s="14"/>
    </row>
    <row r="901" spans="1:14" x14ac:dyDescent="0.35">
      <c r="A901" s="16" t="s">
        <v>67</v>
      </c>
      <c r="B901" s="13" t="s">
        <v>54</v>
      </c>
      <c r="C901" s="12">
        <v>45132</v>
      </c>
      <c r="D901" s="8">
        <v>60.383000000000003</v>
      </c>
      <c r="E901" s="8">
        <v>82.8</v>
      </c>
      <c r="F901" s="13"/>
      <c r="G901" s="13" t="s">
        <v>38</v>
      </c>
      <c r="H901" s="13" t="s">
        <v>68</v>
      </c>
      <c r="I901" s="13" t="s">
        <v>55</v>
      </c>
      <c r="J901" s="17">
        <f t="shared" si="14"/>
        <v>4999.7124000000003</v>
      </c>
      <c r="K901" s="15" t="s">
        <v>16</v>
      </c>
      <c r="L901" s="13"/>
      <c r="M901" s="13"/>
      <c r="N901" s="14"/>
    </row>
    <row r="902" spans="1:14" x14ac:dyDescent="0.35">
      <c r="A902" s="16" t="s">
        <v>53</v>
      </c>
      <c r="B902" s="13" t="s">
        <v>54</v>
      </c>
      <c r="C902" s="12">
        <v>45149</v>
      </c>
      <c r="D902" s="8">
        <v>35.878999999999998</v>
      </c>
      <c r="E902" s="8">
        <v>83.61</v>
      </c>
      <c r="F902" s="13"/>
      <c r="G902" s="13" t="s">
        <v>38</v>
      </c>
      <c r="H902" s="13" t="s">
        <v>40</v>
      </c>
      <c r="I902" s="13" t="s">
        <v>55</v>
      </c>
      <c r="J902" s="17">
        <f t="shared" si="14"/>
        <v>2999.8431899999996</v>
      </c>
      <c r="K902" s="15" t="s">
        <v>16</v>
      </c>
      <c r="L902" s="13"/>
      <c r="M902" s="13"/>
      <c r="N902" s="14"/>
    </row>
    <row r="903" spans="1:14" x14ac:dyDescent="0.35">
      <c r="A903" s="16" t="s">
        <v>27</v>
      </c>
      <c r="B903" s="13" t="s">
        <v>56</v>
      </c>
      <c r="C903" s="12">
        <v>45149</v>
      </c>
      <c r="D903" s="8">
        <v>74.234999999999999</v>
      </c>
      <c r="E903" s="8">
        <v>13.47</v>
      </c>
      <c r="F903" s="13"/>
      <c r="G903" s="13" t="s">
        <v>13</v>
      </c>
      <c r="H903" s="13" t="s">
        <v>40</v>
      </c>
      <c r="I903" s="13" t="s">
        <v>57</v>
      </c>
      <c r="J903" s="17">
        <f t="shared" si="14"/>
        <v>999.94545000000005</v>
      </c>
      <c r="K903" s="15" t="s">
        <v>16</v>
      </c>
      <c r="L903" s="13"/>
      <c r="M903" s="13"/>
      <c r="N903" s="14"/>
    </row>
    <row r="904" spans="1:14" x14ac:dyDescent="0.35">
      <c r="A904" s="16">
        <v>79931510915</v>
      </c>
      <c r="B904" s="13" t="s">
        <v>39</v>
      </c>
      <c r="C904" s="12">
        <v>45149</v>
      </c>
      <c r="D904" s="8">
        <v>16.646999999999998</v>
      </c>
      <c r="E904" s="8">
        <v>120.13500000000001</v>
      </c>
      <c r="F904" s="13"/>
      <c r="G904" s="13" t="s">
        <v>38</v>
      </c>
      <c r="H904" s="13" t="s">
        <v>40</v>
      </c>
      <c r="I904" s="13" t="s">
        <v>41</v>
      </c>
      <c r="J904" s="17">
        <f t="shared" si="14"/>
        <v>1999.8873449999999</v>
      </c>
      <c r="K904" s="15" t="s">
        <v>16</v>
      </c>
      <c r="L904" s="13"/>
      <c r="M904" s="13"/>
      <c r="N904" s="14"/>
    </row>
    <row r="905" spans="1:14" x14ac:dyDescent="0.35">
      <c r="A905" s="16" t="s">
        <v>27</v>
      </c>
      <c r="B905" s="13" t="s">
        <v>71</v>
      </c>
      <c r="C905" s="12">
        <v>45155</v>
      </c>
      <c r="D905" s="8">
        <v>1319.492</v>
      </c>
      <c r="E905" s="8">
        <v>30.32</v>
      </c>
      <c r="F905" s="13"/>
      <c r="G905" s="13" t="s">
        <v>13</v>
      </c>
      <c r="H905" s="13" t="s">
        <v>72</v>
      </c>
      <c r="I905" s="13" t="s">
        <v>73</v>
      </c>
      <c r="J905" s="17">
        <f t="shared" si="14"/>
        <v>40006.997439999999</v>
      </c>
      <c r="K905" s="15" t="s">
        <v>16</v>
      </c>
      <c r="L905" s="13"/>
      <c r="M905" s="13"/>
      <c r="N905" s="14"/>
    </row>
    <row r="906" spans="1:14" x14ac:dyDescent="0.35">
      <c r="A906" s="16" t="s">
        <v>49</v>
      </c>
      <c r="B906" s="13" t="s">
        <v>39</v>
      </c>
      <c r="C906" s="12">
        <v>45156</v>
      </c>
      <c r="D906" s="8">
        <v>20.754000000000001</v>
      </c>
      <c r="E906" s="8">
        <v>120.452</v>
      </c>
      <c r="F906" s="13"/>
      <c r="G906" s="13" t="s">
        <v>31</v>
      </c>
      <c r="H906" s="13" t="s">
        <v>40</v>
      </c>
      <c r="I906" s="13" t="s">
        <v>41</v>
      </c>
      <c r="J906" s="17">
        <f t="shared" si="14"/>
        <v>2499.8608079999999</v>
      </c>
      <c r="K906" s="15" t="s">
        <v>32</v>
      </c>
      <c r="L906" s="13"/>
      <c r="M906" s="13"/>
      <c r="N906" s="14"/>
    </row>
    <row r="907" spans="1:14" x14ac:dyDescent="0.35">
      <c r="A907" s="16" t="s">
        <v>74</v>
      </c>
      <c r="B907" s="13" t="s">
        <v>42</v>
      </c>
      <c r="C907" s="12">
        <v>45159</v>
      </c>
      <c r="D907" s="8">
        <v>20.550999999999998</v>
      </c>
      <c r="E907" s="8">
        <v>145.9692</v>
      </c>
      <c r="F907" s="13"/>
      <c r="G907" s="13" t="s">
        <v>31</v>
      </c>
      <c r="H907" s="13" t="s">
        <v>40</v>
      </c>
      <c r="I907" s="13" t="s">
        <v>43</v>
      </c>
      <c r="J907" s="17">
        <f t="shared" si="14"/>
        <v>2999.8130291999996</v>
      </c>
      <c r="K907" s="15" t="s">
        <v>32</v>
      </c>
      <c r="L907" s="13"/>
      <c r="M907" s="13"/>
      <c r="N907" s="14"/>
    </row>
    <row r="908" spans="1:14" x14ac:dyDescent="0.35">
      <c r="A908" s="16">
        <v>79931510915</v>
      </c>
      <c r="B908" s="13" t="s">
        <v>39</v>
      </c>
      <c r="C908" s="12">
        <v>45162</v>
      </c>
      <c r="D908" s="8">
        <v>24.600999999999999</v>
      </c>
      <c r="E908" s="8">
        <v>121.94199999999999</v>
      </c>
      <c r="F908" s="13"/>
      <c r="G908" s="13" t="s">
        <v>38</v>
      </c>
      <c r="H908" s="13" t="s">
        <v>40</v>
      </c>
      <c r="I908" s="13" t="s">
        <v>41</v>
      </c>
      <c r="J908" s="17">
        <f t="shared" si="14"/>
        <v>2999.8951419999999</v>
      </c>
      <c r="K908" s="15" t="s">
        <v>16</v>
      </c>
      <c r="L908" s="13"/>
      <c r="M908" s="13"/>
      <c r="N908" s="14"/>
    </row>
    <row r="909" spans="1:14" x14ac:dyDescent="0.35">
      <c r="A909" s="16" t="s">
        <v>65</v>
      </c>
      <c r="B909" s="13" t="s">
        <v>54</v>
      </c>
      <c r="C909" s="12">
        <v>45163</v>
      </c>
      <c r="D909" s="8">
        <v>85.47</v>
      </c>
      <c r="E909" s="8">
        <v>58.497</v>
      </c>
      <c r="F909" s="13"/>
      <c r="G909" s="13" t="s">
        <v>38</v>
      </c>
      <c r="H909" s="13" t="s">
        <v>66</v>
      </c>
      <c r="I909" s="13" t="s">
        <v>55</v>
      </c>
      <c r="J909" s="17">
        <f t="shared" si="14"/>
        <v>4999.7385899999999</v>
      </c>
      <c r="K909" s="15" t="s">
        <v>16</v>
      </c>
      <c r="L909" s="13"/>
      <c r="M909" s="13"/>
      <c r="N909" s="14"/>
    </row>
    <row r="910" spans="1:14" x14ac:dyDescent="0.35">
      <c r="A910" s="16" t="s">
        <v>67</v>
      </c>
      <c r="B910" s="13" t="s">
        <v>54</v>
      </c>
      <c r="C910" s="12">
        <v>45163</v>
      </c>
      <c r="D910" s="8">
        <v>58.497</v>
      </c>
      <c r="E910" s="8">
        <v>85.47</v>
      </c>
      <c r="F910" s="13"/>
      <c r="G910" s="13" t="s">
        <v>38</v>
      </c>
      <c r="H910" s="13" t="s">
        <v>68</v>
      </c>
      <c r="I910" s="13" t="s">
        <v>55</v>
      </c>
      <c r="J910" s="17">
        <f t="shared" si="14"/>
        <v>4999.7385899999999</v>
      </c>
      <c r="K910" s="15" t="s">
        <v>16</v>
      </c>
      <c r="L910" s="13"/>
      <c r="M910" s="13"/>
      <c r="N910" s="14"/>
    </row>
    <row r="911" spans="1:14" x14ac:dyDescent="0.35">
      <c r="A911" s="16" t="s">
        <v>53</v>
      </c>
      <c r="B911" s="13" t="s">
        <v>54</v>
      </c>
      <c r="C911" s="12">
        <v>45180</v>
      </c>
      <c r="D911" s="8">
        <v>34.151000000000003</v>
      </c>
      <c r="E911" s="8">
        <v>87.84</v>
      </c>
      <c r="F911" s="13"/>
      <c r="G911" s="13" t="s">
        <v>38</v>
      </c>
      <c r="H911" s="13" t="s">
        <v>40</v>
      </c>
      <c r="I911" s="13" t="s">
        <v>55</v>
      </c>
      <c r="J911" s="17">
        <f t="shared" si="14"/>
        <v>2999.8238400000005</v>
      </c>
      <c r="K911" s="15" t="s">
        <v>16</v>
      </c>
      <c r="L911" s="13"/>
      <c r="M911" s="13"/>
      <c r="N911" s="14"/>
    </row>
    <row r="912" spans="1:14" x14ac:dyDescent="0.35">
      <c r="A912" s="16" t="s">
        <v>27</v>
      </c>
      <c r="B912" s="13" t="s">
        <v>56</v>
      </c>
      <c r="C912" s="12">
        <v>45180</v>
      </c>
      <c r="D912" s="8">
        <v>71.424999999999997</v>
      </c>
      <c r="E912" s="8">
        <v>14</v>
      </c>
      <c r="F912" s="13"/>
      <c r="G912" s="13" t="s">
        <v>13</v>
      </c>
      <c r="H912" s="13" t="s">
        <v>40</v>
      </c>
      <c r="I912" s="13" t="s">
        <v>57</v>
      </c>
      <c r="J912" s="17">
        <f t="shared" si="14"/>
        <v>999.94999999999993</v>
      </c>
      <c r="K912" s="15" t="s">
        <v>16</v>
      </c>
      <c r="L912" s="13"/>
      <c r="M912" s="13"/>
      <c r="N912" s="14"/>
    </row>
    <row r="913" spans="1:14" x14ac:dyDescent="0.35">
      <c r="A913" s="16">
        <v>79931510915</v>
      </c>
      <c r="B913" s="13" t="s">
        <v>39</v>
      </c>
      <c r="C913" s="12">
        <v>45180</v>
      </c>
      <c r="D913" s="8">
        <v>15.887</v>
      </c>
      <c r="E913" s="8">
        <v>125.88</v>
      </c>
      <c r="F913" s="13"/>
      <c r="G913" s="13" t="s">
        <v>38</v>
      </c>
      <c r="H913" s="13" t="s">
        <v>40</v>
      </c>
      <c r="I913" s="13" t="s">
        <v>41</v>
      </c>
      <c r="J913" s="17">
        <f t="shared" si="14"/>
        <v>1999.85556</v>
      </c>
      <c r="K913" s="15" t="s">
        <v>16</v>
      </c>
      <c r="L913" s="13"/>
      <c r="M913" s="13"/>
      <c r="N913" s="14"/>
    </row>
    <row r="914" spans="1:14" x14ac:dyDescent="0.35">
      <c r="A914" s="16" t="s">
        <v>49</v>
      </c>
      <c r="B914" s="13" t="s">
        <v>39</v>
      </c>
      <c r="C914" s="12">
        <v>45187</v>
      </c>
      <c r="D914" s="8">
        <v>20.030999999999999</v>
      </c>
      <c r="E914" s="8">
        <v>124.803</v>
      </c>
      <c r="F914" s="13"/>
      <c r="G914" s="13" t="s">
        <v>31</v>
      </c>
      <c r="H914" s="13" t="s">
        <v>40</v>
      </c>
      <c r="I914" s="13" t="s">
        <v>41</v>
      </c>
      <c r="J914" s="17">
        <f t="shared" si="14"/>
        <v>2499.9288929999998</v>
      </c>
      <c r="K914" s="15" t="s">
        <v>32</v>
      </c>
      <c r="L914" s="13"/>
      <c r="M914" s="13"/>
      <c r="N914" s="14"/>
    </row>
    <row r="915" spans="1:14" x14ac:dyDescent="0.35">
      <c r="A915" s="16" t="s">
        <v>37</v>
      </c>
      <c r="B915" s="13" t="s">
        <v>25</v>
      </c>
      <c r="C915" s="12">
        <v>45190</v>
      </c>
      <c r="D915" s="8">
        <v>2232.29</v>
      </c>
      <c r="E915" s="8">
        <v>62.730800000000002</v>
      </c>
      <c r="F915" s="13"/>
      <c r="G915" s="13" t="s">
        <v>38</v>
      </c>
      <c r="H915" s="13"/>
      <c r="I915" s="13" t="s">
        <v>26</v>
      </c>
      <c r="J915" s="17">
        <f t="shared" si="14"/>
        <v>140033.33753200001</v>
      </c>
      <c r="K915" s="15" t="s">
        <v>16</v>
      </c>
      <c r="L915" s="13"/>
      <c r="M915" s="13"/>
      <c r="N915" s="14"/>
    </row>
    <row r="916" spans="1:14" x14ac:dyDescent="0.35">
      <c r="A916" s="16" t="s">
        <v>74</v>
      </c>
      <c r="B916" s="13" t="s">
        <v>42</v>
      </c>
      <c r="C916" s="12">
        <v>45190</v>
      </c>
      <c r="D916" s="8">
        <v>19.888999999999999</v>
      </c>
      <c r="E916" s="8">
        <v>150.8272</v>
      </c>
      <c r="F916" s="13"/>
      <c r="G916" s="13" t="s">
        <v>31</v>
      </c>
      <c r="H916" s="13" t="s">
        <v>40</v>
      </c>
      <c r="I916" s="13" t="s">
        <v>43</v>
      </c>
      <c r="J916" s="17">
        <f t="shared" si="14"/>
        <v>2999.8021807999999</v>
      </c>
      <c r="K916" s="15" t="s">
        <v>32</v>
      </c>
      <c r="L916" s="13"/>
      <c r="M916" s="13"/>
      <c r="N916" s="14"/>
    </row>
    <row r="917" spans="1:14" x14ac:dyDescent="0.35">
      <c r="A917" s="16">
        <v>79931510915</v>
      </c>
      <c r="B917" s="13" t="s">
        <v>39</v>
      </c>
      <c r="C917" s="12">
        <v>45191</v>
      </c>
      <c r="D917" s="8">
        <v>24.161999999999999</v>
      </c>
      <c r="E917" s="8">
        <v>124.15600000000001</v>
      </c>
      <c r="F917" s="13"/>
      <c r="G917" s="13" t="s">
        <v>38</v>
      </c>
      <c r="H917" s="13" t="s">
        <v>40</v>
      </c>
      <c r="I917" s="13" t="s">
        <v>41</v>
      </c>
      <c r="J917" s="17">
        <f t="shared" si="14"/>
        <v>2999.8572720000002</v>
      </c>
      <c r="K917" s="15" t="s">
        <v>16</v>
      </c>
      <c r="L917" s="13"/>
      <c r="M917" s="13"/>
      <c r="N917" s="14"/>
    </row>
    <row r="918" spans="1:14" x14ac:dyDescent="0.35">
      <c r="A918" s="16" t="s">
        <v>65</v>
      </c>
      <c r="B918" s="13" t="s">
        <v>54</v>
      </c>
      <c r="C918" s="12">
        <v>45194</v>
      </c>
      <c r="D918" s="8">
        <v>87.52</v>
      </c>
      <c r="E918" s="8">
        <v>57.127000000000002</v>
      </c>
      <c r="F918" s="13"/>
      <c r="G918" s="13" t="s">
        <v>38</v>
      </c>
      <c r="H918" s="13" t="s">
        <v>66</v>
      </c>
      <c r="I918" s="13" t="s">
        <v>55</v>
      </c>
      <c r="J918" s="17">
        <f t="shared" si="14"/>
        <v>4999.75504</v>
      </c>
      <c r="K918" s="15" t="s">
        <v>16</v>
      </c>
      <c r="L918" s="13"/>
      <c r="M918" s="13"/>
      <c r="N918" s="14"/>
    </row>
    <row r="919" spans="1:14" x14ac:dyDescent="0.35">
      <c r="A919" s="16" t="s">
        <v>67</v>
      </c>
      <c r="B919" s="13" t="s">
        <v>54</v>
      </c>
      <c r="C919" s="12">
        <v>45194</v>
      </c>
      <c r="D919" s="8">
        <v>57.127000000000002</v>
      </c>
      <c r="E919" s="8">
        <v>87.52</v>
      </c>
      <c r="F919" s="13"/>
      <c r="G919" s="13" t="s">
        <v>38</v>
      </c>
      <c r="H919" s="13" t="s">
        <v>68</v>
      </c>
      <c r="I919" s="13" t="s">
        <v>55</v>
      </c>
      <c r="J919" s="17">
        <f t="shared" si="14"/>
        <v>4999.75504</v>
      </c>
      <c r="K919" s="15" t="s">
        <v>16</v>
      </c>
      <c r="L919" s="13"/>
      <c r="M919" s="13"/>
      <c r="N919" s="14"/>
    </row>
    <row r="920" spans="1:14" x14ac:dyDescent="0.35">
      <c r="A920" s="16" t="s">
        <v>27</v>
      </c>
      <c r="B920" s="13" t="s">
        <v>71</v>
      </c>
      <c r="C920" s="12">
        <v>45202</v>
      </c>
      <c r="D920" s="8">
        <v>155.85300000000001</v>
      </c>
      <c r="E920" s="8">
        <v>32.08</v>
      </c>
      <c r="F920" s="13"/>
      <c r="G920" s="13" t="s">
        <v>13</v>
      </c>
      <c r="H920" s="13" t="s">
        <v>72</v>
      </c>
      <c r="I920" s="13" t="s">
        <v>73</v>
      </c>
      <c r="J920" s="17">
        <f t="shared" si="14"/>
        <v>4999.7642400000004</v>
      </c>
      <c r="K920" s="15" t="s">
        <v>16</v>
      </c>
      <c r="L920" s="13"/>
      <c r="M920" s="13"/>
      <c r="N920" s="14"/>
    </row>
    <row r="921" spans="1:14" x14ac:dyDescent="0.35">
      <c r="A921" s="16" t="s">
        <v>24</v>
      </c>
      <c r="B921" s="13" t="s">
        <v>25</v>
      </c>
      <c r="C921" s="12">
        <v>45202</v>
      </c>
      <c r="D921" s="8">
        <v>80</v>
      </c>
      <c r="E921" s="8">
        <v>62.494399999999999</v>
      </c>
      <c r="F921" s="13"/>
      <c r="G921" s="13" t="s">
        <v>13</v>
      </c>
      <c r="H921" s="13" t="s">
        <v>14</v>
      </c>
      <c r="I921" s="13" t="s">
        <v>26</v>
      </c>
      <c r="J921" s="17">
        <f t="shared" si="14"/>
        <v>4999.5519999999997</v>
      </c>
      <c r="K921" s="15" t="s">
        <v>16</v>
      </c>
      <c r="L921" s="13"/>
      <c r="M921" s="13"/>
      <c r="N921" s="14"/>
    </row>
    <row r="922" spans="1:14" x14ac:dyDescent="0.35">
      <c r="A922" s="16" t="s">
        <v>27</v>
      </c>
      <c r="B922" s="13" t="s">
        <v>71</v>
      </c>
      <c r="C922" s="12">
        <v>45208</v>
      </c>
      <c r="D922" s="8">
        <v>788.85299999999995</v>
      </c>
      <c r="E922" s="8">
        <v>31.69</v>
      </c>
      <c r="F922" s="13"/>
      <c r="G922" s="13" t="s">
        <v>13</v>
      </c>
      <c r="H922" s="13" t="s">
        <v>72</v>
      </c>
      <c r="I922" s="13" t="s">
        <v>73</v>
      </c>
      <c r="J922" s="17">
        <f t="shared" si="14"/>
        <v>24998.75157</v>
      </c>
      <c r="K922" s="15" t="s">
        <v>16</v>
      </c>
      <c r="L922" s="13"/>
      <c r="M922" s="13"/>
      <c r="N922" s="14"/>
    </row>
    <row r="923" spans="1:14" x14ac:dyDescent="0.35">
      <c r="A923" s="16" t="s">
        <v>24</v>
      </c>
      <c r="B923" s="13" t="s">
        <v>25</v>
      </c>
      <c r="C923" s="12">
        <v>45208</v>
      </c>
      <c r="D923" s="8">
        <v>479.23500000000001</v>
      </c>
      <c r="E923" s="8">
        <v>62.596699999999998</v>
      </c>
      <c r="F923" s="13"/>
      <c r="G923" s="13" t="s">
        <v>13</v>
      </c>
      <c r="H923" s="13" t="s">
        <v>14</v>
      </c>
      <c r="I923" s="13" t="s">
        <v>26</v>
      </c>
      <c r="J923" s="17">
        <f t="shared" si="14"/>
        <v>29998.529524500002</v>
      </c>
      <c r="K923" s="15" t="s">
        <v>16</v>
      </c>
      <c r="L923" s="13"/>
      <c r="M923" s="13"/>
      <c r="N923" s="14"/>
    </row>
    <row r="924" spans="1:14" x14ac:dyDescent="0.35">
      <c r="A924" s="16" t="s">
        <v>53</v>
      </c>
      <c r="B924" s="13" t="s">
        <v>54</v>
      </c>
      <c r="C924" s="12">
        <v>45210</v>
      </c>
      <c r="D924" s="8">
        <v>33.683</v>
      </c>
      <c r="E924" s="8">
        <v>89.06</v>
      </c>
      <c r="F924" s="13"/>
      <c r="G924" s="13" t="s">
        <v>38</v>
      </c>
      <c r="H924" s="13" t="s">
        <v>40</v>
      </c>
      <c r="I924" s="13" t="s">
        <v>55</v>
      </c>
      <c r="J924" s="17">
        <f t="shared" si="14"/>
        <v>2999.80798</v>
      </c>
      <c r="K924" s="15" t="s">
        <v>16</v>
      </c>
      <c r="L924" s="13"/>
      <c r="M924" s="13"/>
      <c r="N924" s="14"/>
    </row>
    <row r="925" spans="1:14" x14ac:dyDescent="0.35">
      <c r="A925" s="16" t="s">
        <v>27</v>
      </c>
      <c r="B925" s="13" t="s">
        <v>56</v>
      </c>
      <c r="C925" s="12">
        <v>45210</v>
      </c>
      <c r="D925" s="8">
        <v>71.527000000000001</v>
      </c>
      <c r="E925" s="8">
        <v>13.98</v>
      </c>
      <c r="F925" s="13"/>
      <c r="G925" s="13" t="s">
        <v>13</v>
      </c>
      <c r="H925" s="13" t="s">
        <v>40</v>
      </c>
      <c r="I925" s="13" t="s">
        <v>57</v>
      </c>
      <c r="J925" s="17">
        <f t="shared" si="14"/>
        <v>999.94746000000009</v>
      </c>
      <c r="K925" s="15" t="s">
        <v>16</v>
      </c>
      <c r="L925" s="13"/>
      <c r="M925" s="13"/>
      <c r="N925" s="14"/>
    </row>
    <row r="926" spans="1:14" x14ac:dyDescent="0.35">
      <c r="A926" s="16">
        <v>79931510915</v>
      </c>
      <c r="B926" s="13" t="s">
        <v>39</v>
      </c>
      <c r="C926" s="12">
        <v>45210</v>
      </c>
      <c r="D926" s="8">
        <v>15.887</v>
      </c>
      <c r="E926" s="8">
        <v>125.883</v>
      </c>
      <c r="F926" s="13"/>
      <c r="G926" s="13" t="s">
        <v>38</v>
      </c>
      <c r="H926" s="13" t="s">
        <v>40</v>
      </c>
      <c r="I926" s="13" t="s">
        <v>41</v>
      </c>
      <c r="J926" s="17">
        <f t="shared" si="14"/>
        <v>1999.903221</v>
      </c>
      <c r="K926" s="15" t="s">
        <v>16</v>
      </c>
      <c r="L926" s="13"/>
      <c r="M926" s="13"/>
      <c r="N926" s="14"/>
    </row>
    <row r="927" spans="1:14" x14ac:dyDescent="0.35">
      <c r="A927" s="16" t="s">
        <v>27</v>
      </c>
      <c r="B927" s="13" t="s">
        <v>71</v>
      </c>
      <c r="C927" s="12">
        <v>45217</v>
      </c>
      <c r="D927" s="8">
        <v>925.02300000000002</v>
      </c>
      <c r="E927" s="8">
        <v>32.43</v>
      </c>
      <c r="F927" s="13"/>
      <c r="G927" s="13" t="s">
        <v>13</v>
      </c>
      <c r="H927" s="13" t="s">
        <v>72</v>
      </c>
      <c r="I927" s="13" t="s">
        <v>73</v>
      </c>
      <c r="J927" s="17">
        <f t="shared" si="14"/>
        <v>29998.495890000002</v>
      </c>
      <c r="K927" s="15" t="s">
        <v>16</v>
      </c>
      <c r="L927" s="13"/>
      <c r="M927" s="13"/>
      <c r="N927" s="14"/>
    </row>
    <row r="928" spans="1:14" x14ac:dyDescent="0.35">
      <c r="A928" s="16" t="s">
        <v>24</v>
      </c>
      <c r="B928" s="13" t="s">
        <v>25</v>
      </c>
      <c r="C928" s="12">
        <v>45217</v>
      </c>
      <c r="D928" s="8">
        <v>783.64300000000003</v>
      </c>
      <c r="E928" s="8">
        <v>63.801400000000001</v>
      </c>
      <c r="F928" s="13"/>
      <c r="G928" s="13" t="s">
        <v>13</v>
      </c>
      <c r="H928" s="13" t="s">
        <v>14</v>
      </c>
      <c r="I928" s="13" t="s">
        <v>26</v>
      </c>
      <c r="J928" s="17">
        <f t="shared" si="14"/>
        <v>49997.5205002</v>
      </c>
      <c r="K928" s="15" t="s">
        <v>16</v>
      </c>
      <c r="L928" s="13"/>
      <c r="M928" s="13"/>
      <c r="N928" s="14"/>
    </row>
    <row r="929" spans="1:14" x14ac:dyDescent="0.35">
      <c r="A929" s="16" t="s">
        <v>49</v>
      </c>
      <c r="B929" s="13" t="s">
        <v>39</v>
      </c>
      <c r="C929" s="12">
        <v>45217</v>
      </c>
      <c r="D929" s="8">
        <v>19.859000000000002</v>
      </c>
      <c r="E929" s="8">
        <v>125.883</v>
      </c>
      <c r="F929" s="13"/>
      <c r="G929" s="13" t="s">
        <v>31</v>
      </c>
      <c r="H929" s="13" t="s">
        <v>40</v>
      </c>
      <c r="I929" s="13" t="s">
        <v>41</v>
      </c>
      <c r="J929" s="17">
        <f t="shared" si="14"/>
        <v>2499.9104970000003</v>
      </c>
      <c r="K929" s="15" t="s">
        <v>32</v>
      </c>
      <c r="L929" s="13"/>
      <c r="M929" s="13"/>
      <c r="N929" s="14"/>
    </row>
    <row r="930" spans="1:14" x14ac:dyDescent="0.35">
      <c r="A930" s="16" t="s">
        <v>74</v>
      </c>
      <c r="B930" s="13" t="s">
        <v>42</v>
      </c>
      <c r="C930" s="12">
        <v>45220</v>
      </c>
      <c r="D930" s="8">
        <v>19.620999999999999</v>
      </c>
      <c r="E930" s="8">
        <v>152.89160000000001</v>
      </c>
      <c r="F930" s="13"/>
      <c r="G930" s="13" t="s">
        <v>31</v>
      </c>
      <c r="H930" s="13" t="s">
        <v>40</v>
      </c>
      <c r="I930" s="13" t="s">
        <v>43</v>
      </c>
      <c r="J930" s="17">
        <f t="shared" si="14"/>
        <v>2999.8860835999999</v>
      </c>
      <c r="K930" s="15" t="s">
        <v>32</v>
      </c>
      <c r="L930" s="13"/>
      <c r="M930" s="13"/>
      <c r="N930" s="14"/>
    </row>
    <row r="931" spans="1:14" x14ac:dyDescent="0.35">
      <c r="A931" s="16" t="s">
        <v>27</v>
      </c>
      <c r="B931" s="13" t="s">
        <v>71</v>
      </c>
      <c r="C931" s="12">
        <v>45222</v>
      </c>
      <c r="D931" s="8">
        <v>478.14</v>
      </c>
      <c r="E931" s="8">
        <v>31.37</v>
      </c>
      <c r="F931" s="13"/>
      <c r="G931" s="13" t="s">
        <v>13</v>
      </c>
      <c r="H931" s="13" t="s">
        <v>72</v>
      </c>
      <c r="I931" s="13" t="s">
        <v>73</v>
      </c>
      <c r="J931" s="17">
        <f t="shared" si="14"/>
        <v>14999.2518</v>
      </c>
      <c r="K931" s="15" t="s">
        <v>16</v>
      </c>
      <c r="L931" s="13"/>
      <c r="M931" s="13"/>
      <c r="N931" s="14"/>
    </row>
    <row r="932" spans="1:14" x14ac:dyDescent="0.35">
      <c r="A932" s="16">
        <v>79931510915</v>
      </c>
      <c r="B932" s="13" t="s">
        <v>39</v>
      </c>
      <c r="C932" s="12">
        <v>45222</v>
      </c>
      <c r="D932" s="8">
        <v>24.870999999999999</v>
      </c>
      <c r="E932" s="8">
        <v>120.617</v>
      </c>
      <c r="F932" s="13"/>
      <c r="G932" s="13" t="s">
        <v>38</v>
      </c>
      <c r="H932" s="13" t="s">
        <v>40</v>
      </c>
      <c r="I932" s="13" t="s">
        <v>41</v>
      </c>
      <c r="J932" s="17">
        <f t="shared" si="14"/>
        <v>2999.8654069999998</v>
      </c>
      <c r="K932" s="15" t="s">
        <v>16</v>
      </c>
      <c r="L932" s="13"/>
      <c r="M932" s="13"/>
      <c r="N932" s="14"/>
    </row>
    <row r="933" spans="1:14" x14ac:dyDescent="0.35">
      <c r="A933" s="16" t="s">
        <v>65</v>
      </c>
      <c r="B933" s="13" t="s">
        <v>54</v>
      </c>
      <c r="C933" s="12">
        <v>45224</v>
      </c>
      <c r="D933" s="8">
        <v>85.45</v>
      </c>
      <c r="E933" s="8">
        <v>58.511000000000003</v>
      </c>
      <c r="F933" s="13"/>
      <c r="G933" s="13" t="s">
        <v>38</v>
      </c>
      <c r="H933" s="13" t="s">
        <v>66</v>
      </c>
      <c r="I933" s="13" t="s">
        <v>55</v>
      </c>
      <c r="J933" s="17">
        <f t="shared" si="14"/>
        <v>4999.7649500000007</v>
      </c>
      <c r="K933" s="15" t="s">
        <v>16</v>
      </c>
      <c r="L933" s="13"/>
      <c r="M933" s="13"/>
      <c r="N933" s="14"/>
    </row>
    <row r="934" spans="1:14" x14ac:dyDescent="0.35">
      <c r="A934" s="16" t="s">
        <v>67</v>
      </c>
      <c r="B934" s="13" t="s">
        <v>54</v>
      </c>
      <c r="C934" s="12">
        <v>45224</v>
      </c>
      <c r="D934" s="8">
        <v>58.511000000000003</v>
      </c>
      <c r="E934" s="8">
        <v>85.45</v>
      </c>
      <c r="F934" s="13"/>
      <c r="G934" s="13" t="s">
        <v>38</v>
      </c>
      <c r="H934" s="13" t="s">
        <v>68</v>
      </c>
      <c r="I934" s="13" t="s">
        <v>55</v>
      </c>
      <c r="J934" s="17">
        <f t="shared" si="14"/>
        <v>4999.7649500000007</v>
      </c>
      <c r="K934" s="15" t="s">
        <v>16</v>
      </c>
      <c r="L934" s="13"/>
      <c r="M934" s="13"/>
      <c r="N934" s="14"/>
    </row>
    <row r="935" spans="1:14" x14ac:dyDescent="0.35">
      <c r="A935" s="16" t="s">
        <v>48</v>
      </c>
      <c r="B935" s="13" t="s">
        <v>39</v>
      </c>
      <c r="C935" s="12">
        <v>45236</v>
      </c>
      <c r="D935" s="8">
        <v>20.266999999999999</v>
      </c>
      <c r="E935" s="8">
        <v>123.59399999999999</v>
      </c>
      <c r="F935" s="13"/>
      <c r="G935" s="13" t="s">
        <v>38</v>
      </c>
      <c r="H935" s="13" t="s">
        <v>40</v>
      </c>
      <c r="I935" s="13" t="s">
        <v>41</v>
      </c>
      <c r="J935" s="17">
        <f t="shared" si="14"/>
        <v>2504.879598</v>
      </c>
      <c r="K935" s="15" t="s">
        <v>16</v>
      </c>
      <c r="L935" s="13"/>
      <c r="M935" s="13"/>
      <c r="N935" s="14"/>
    </row>
    <row r="936" spans="1:14" x14ac:dyDescent="0.35">
      <c r="A936" s="16" t="s">
        <v>53</v>
      </c>
      <c r="B936" s="13" t="s">
        <v>54</v>
      </c>
      <c r="C936" s="12">
        <v>45243</v>
      </c>
      <c r="D936" s="8">
        <v>32.652999999999999</v>
      </c>
      <c r="E936" s="8">
        <v>91.87</v>
      </c>
      <c r="F936" s="13"/>
      <c r="G936" s="13" t="s">
        <v>38</v>
      </c>
      <c r="H936" s="13" t="s">
        <v>40</v>
      </c>
      <c r="I936" s="13" t="s">
        <v>55</v>
      </c>
      <c r="J936" s="17">
        <f t="shared" si="14"/>
        <v>2999.8311100000001</v>
      </c>
      <c r="K936" s="15" t="s">
        <v>16</v>
      </c>
      <c r="L936" s="13"/>
      <c r="M936" s="13"/>
      <c r="N936" s="14"/>
    </row>
    <row r="937" spans="1:14" x14ac:dyDescent="0.35">
      <c r="A937" s="16" t="s">
        <v>27</v>
      </c>
      <c r="B937" s="13" t="s">
        <v>56</v>
      </c>
      <c r="C937" s="12">
        <v>45243</v>
      </c>
      <c r="D937" s="8">
        <v>70.123000000000005</v>
      </c>
      <c r="E937" s="8">
        <v>14.26</v>
      </c>
      <c r="F937" s="13"/>
      <c r="G937" s="13" t="s">
        <v>13</v>
      </c>
      <c r="H937" s="13" t="s">
        <v>40</v>
      </c>
      <c r="I937" s="13" t="s">
        <v>57</v>
      </c>
      <c r="J937" s="17">
        <f t="shared" si="14"/>
        <v>999.95398</v>
      </c>
      <c r="K937" s="15" t="s">
        <v>16</v>
      </c>
      <c r="L937" s="13"/>
      <c r="M937" s="13"/>
      <c r="N937" s="14"/>
    </row>
    <row r="938" spans="1:14" x14ac:dyDescent="0.35">
      <c r="A938" s="16">
        <v>79931510915</v>
      </c>
      <c r="B938" s="13" t="s">
        <v>39</v>
      </c>
      <c r="C938" s="12">
        <v>45243</v>
      </c>
      <c r="D938" s="8">
        <v>15.909000000000001</v>
      </c>
      <c r="E938" s="8">
        <v>125.71</v>
      </c>
      <c r="F938" s="13"/>
      <c r="G938" s="13" t="s">
        <v>38</v>
      </c>
      <c r="H938" s="13" t="s">
        <v>40</v>
      </c>
      <c r="I938" s="13" t="s">
        <v>41</v>
      </c>
      <c r="J938" s="17">
        <f t="shared" si="14"/>
        <v>1999.92039</v>
      </c>
      <c r="K938" s="15" t="s">
        <v>16</v>
      </c>
      <c r="L938" s="13"/>
      <c r="M938" s="13"/>
      <c r="N938" s="14"/>
    </row>
    <row r="939" spans="1:14" x14ac:dyDescent="0.35">
      <c r="A939" s="16" t="s">
        <v>74</v>
      </c>
      <c r="B939" s="13" t="s">
        <v>42</v>
      </c>
      <c r="C939" s="12">
        <v>45250</v>
      </c>
      <c r="D939" s="8">
        <v>19.481000000000002</v>
      </c>
      <c r="E939" s="8">
        <v>153.9873</v>
      </c>
      <c r="F939" s="13"/>
      <c r="G939" s="13" t="s">
        <v>31</v>
      </c>
      <c r="H939" s="13" t="s">
        <v>40</v>
      </c>
      <c r="I939" s="13" t="s">
        <v>43</v>
      </c>
      <c r="J939" s="17">
        <f t="shared" si="14"/>
        <v>2999.8265913000005</v>
      </c>
      <c r="K939" s="15" t="s">
        <v>32</v>
      </c>
      <c r="L939" s="13"/>
      <c r="M939" s="13"/>
      <c r="N939" s="14"/>
    </row>
    <row r="940" spans="1:14" x14ac:dyDescent="0.35">
      <c r="A940" s="16" t="s">
        <v>49</v>
      </c>
      <c r="B940" s="13" t="s">
        <v>39</v>
      </c>
      <c r="C940" s="12">
        <v>45250</v>
      </c>
      <c r="D940" s="8">
        <v>19.786000000000001</v>
      </c>
      <c r="E940" s="8">
        <v>126.346</v>
      </c>
      <c r="F940" s="13"/>
      <c r="G940" s="13" t="s">
        <v>31</v>
      </c>
      <c r="H940" s="13" t="s">
        <v>40</v>
      </c>
      <c r="I940" s="13" t="s">
        <v>41</v>
      </c>
      <c r="J940" s="17">
        <f t="shared" si="14"/>
        <v>2499.8819560000002</v>
      </c>
      <c r="K940" s="15" t="s">
        <v>32</v>
      </c>
      <c r="L940" s="13"/>
      <c r="M940" s="13"/>
      <c r="N940" s="14"/>
    </row>
    <row r="941" spans="1:14" x14ac:dyDescent="0.35">
      <c r="A941" s="16">
        <v>79931510915</v>
      </c>
      <c r="B941" s="13" t="s">
        <v>39</v>
      </c>
      <c r="C941" s="12">
        <v>45252</v>
      </c>
      <c r="D941" s="8">
        <v>23.652000000000001</v>
      </c>
      <c r="E941" s="8">
        <v>126.83199999999999</v>
      </c>
      <c r="F941" s="13"/>
      <c r="G941" s="13" t="s">
        <v>38</v>
      </c>
      <c r="H941" s="13" t="s">
        <v>40</v>
      </c>
      <c r="I941" s="13" t="s">
        <v>41</v>
      </c>
      <c r="J941" s="17">
        <f t="shared" si="14"/>
        <v>2999.8304640000001</v>
      </c>
      <c r="K941" s="15" t="s">
        <v>16</v>
      </c>
      <c r="L941" s="13"/>
      <c r="M941" s="13"/>
      <c r="N941" s="14"/>
    </row>
    <row r="942" spans="1:14" x14ac:dyDescent="0.35">
      <c r="A942" s="16" t="s">
        <v>65</v>
      </c>
      <c r="B942" s="13" t="s">
        <v>54</v>
      </c>
      <c r="C942" s="12">
        <v>45258</v>
      </c>
      <c r="D942" s="8">
        <v>92.78</v>
      </c>
      <c r="E942" s="8">
        <v>53.887999999999998</v>
      </c>
      <c r="F942" s="13"/>
      <c r="G942" s="13" t="s">
        <v>38</v>
      </c>
      <c r="H942" s="13" t="s">
        <v>66</v>
      </c>
      <c r="I942" s="13" t="s">
        <v>55</v>
      </c>
      <c r="J942" s="17">
        <f t="shared" si="14"/>
        <v>4999.7286400000003</v>
      </c>
      <c r="K942" s="15" t="s">
        <v>16</v>
      </c>
      <c r="L942" s="13"/>
      <c r="M942" s="13"/>
      <c r="N942" s="14"/>
    </row>
    <row r="943" spans="1:14" x14ac:dyDescent="0.35">
      <c r="A943" s="16" t="s">
        <v>67</v>
      </c>
      <c r="B943" s="13" t="s">
        <v>54</v>
      </c>
      <c r="C943" s="12">
        <v>45258</v>
      </c>
      <c r="D943" s="8">
        <v>53.887999999999998</v>
      </c>
      <c r="E943" s="8">
        <v>92.78</v>
      </c>
      <c r="F943" s="13"/>
      <c r="G943" s="13" t="s">
        <v>38</v>
      </c>
      <c r="H943" s="13" t="s">
        <v>68</v>
      </c>
      <c r="I943" s="13" t="s">
        <v>55</v>
      </c>
      <c r="J943" s="17">
        <f t="shared" si="14"/>
        <v>4999.7286400000003</v>
      </c>
      <c r="K943" s="15" t="s">
        <v>16</v>
      </c>
      <c r="L943" s="13"/>
      <c r="M943" s="13"/>
      <c r="N943" s="14"/>
    </row>
    <row r="944" spans="1:14" x14ac:dyDescent="0.35">
      <c r="A944" s="16">
        <v>79944037504</v>
      </c>
      <c r="B944" s="13" t="s">
        <v>39</v>
      </c>
      <c r="C944" s="12">
        <v>45258</v>
      </c>
      <c r="D944" s="8">
        <v>39.250999999999998</v>
      </c>
      <c r="E944" s="8">
        <v>127.506</v>
      </c>
      <c r="F944" s="13"/>
      <c r="G944" s="13" t="s">
        <v>38</v>
      </c>
      <c r="H944" s="13" t="s">
        <v>40</v>
      </c>
      <c r="I944" s="13" t="s">
        <v>41</v>
      </c>
      <c r="J944" s="17">
        <f t="shared" si="14"/>
        <v>5004.7380059999996</v>
      </c>
      <c r="K944" s="15" t="s">
        <v>16</v>
      </c>
      <c r="L944" s="13"/>
      <c r="M944" s="13"/>
      <c r="N944" s="14"/>
    </row>
    <row r="945" spans="1:14" x14ac:dyDescent="0.35">
      <c r="A945" s="16" t="s">
        <v>48</v>
      </c>
      <c r="B945" s="13" t="s">
        <v>39</v>
      </c>
      <c r="C945" s="12">
        <v>45265</v>
      </c>
      <c r="D945" s="8">
        <v>18.747</v>
      </c>
      <c r="E945" s="8">
        <v>133.61799999999999</v>
      </c>
      <c r="F945" s="13"/>
      <c r="G945" s="13" t="s">
        <v>38</v>
      </c>
      <c r="H945" s="13" t="s">
        <v>40</v>
      </c>
      <c r="I945" s="13" t="s">
        <v>41</v>
      </c>
      <c r="J945" s="17">
        <f t="shared" si="14"/>
        <v>2504.9366460000001</v>
      </c>
      <c r="K945" s="15" t="s">
        <v>16</v>
      </c>
      <c r="L945" s="13"/>
      <c r="M945" s="13"/>
      <c r="N945" s="14"/>
    </row>
    <row r="946" spans="1:14" x14ac:dyDescent="0.35">
      <c r="A946" s="16" t="s">
        <v>53</v>
      </c>
      <c r="B946" s="13" t="s">
        <v>54</v>
      </c>
      <c r="C946" s="12">
        <v>45271</v>
      </c>
      <c r="D946" s="8">
        <v>31.657</v>
      </c>
      <c r="E946" s="8">
        <v>94.76</v>
      </c>
      <c r="F946" s="13"/>
      <c r="G946" s="13" t="s">
        <v>38</v>
      </c>
      <c r="H946" s="13" t="s">
        <v>40</v>
      </c>
      <c r="I946" s="13" t="s">
        <v>55</v>
      </c>
      <c r="J946" s="17">
        <f t="shared" si="14"/>
        <v>2999.8173200000001</v>
      </c>
      <c r="K946" s="15" t="s">
        <v>16</v>
      </c>
      <c r="L946" s="13"/>
      <c r="M946" s="13"/>
      <c r="N946" s="14"/>
    </row>
    <row r="947" spans="1:14" x14ac:dyDescent="0.35">
      <c r="A947" s="16" t="s">
        <v>27</v>
      </c>
      <c r="B947" s="13" t="s">
        <v>56</v>
      </c>
      <c r="C947" s="12">
        <v>45271</v>
      </c>
      <c r="D947" s="8">
        <v>65.7</v>
      </c>
      <c r="E947" s="8">
        <v>15.22</v>
      </c>
      <c r="F947" s="13"/>
      <c r="G947" s="13" t="s">
        <v>13</v>
      </c>
      <c r="H947" s="13" t="s">
        <v>40</v>
      </c>
      <c r="I947" s="13" t="s">
        <v>57</v>
      </c>
      <c r="J947" s="17">
        <f t="shared" si="14"/>
        <v>999.95400000000006</v>
      </c>
      <c r="K947" s="15" t="s">
        <v>16</v>
      </c>
      <c r="L947" s="13"/>
      <c r="M947" s="13"/>
      <c r="N947" s="14"/>
    </row>
    <row r="948" spans="1:14" x14ac:dyDescent="0.35">
      <c r="A948" s="16">
        <v>79931510915</v>
      </c>
      <c r="B948" s="13" t="s">
        <v>39</v>
      </c>
      <c r="C948" s="12">
        <v>45271</v>
      </c>
      <c r="D948" s="8">
        <v>14.903</v>
      </c>
      <c r="E948" s="8">
        <v>134.19300000000001</v>
      </c>
      <c r="F948" s="13"/>
      <c r="G948" s="13" t="s">
        <v>38</v>
      </c>
      <c r="H948" s="13" t="s">
        <v>40</v>
      </c>
      <c r="I948" s="13" t="s">
        <v>41</v>
      </c>
      <c r="J948" s="17">
        <f t="shared" si="14"/>
        <v>1999.8782790000002</v>
      </c>
      <c r="K948" s="15" t="s">
        <v>16</v>
      </c>
      <c r="L948" s="13"/>
      <c r="M948" s="13"/>
      <c r="N948" s="14"/>
    </row>
    <row r="949" spans="1:14" x14ac:dyDescent="0.35">
      <c r="A949" s="16" t="s">
        <v>49</v>
      </c>
      <c r="B949" s="13" t="s">
        <v>39</v>
      </c>
      <c r="C949" s="12">
        <v>45278</v>
      </c>
      <c r="D949" s="8">
        <v>18.254999999999999</v>
      </c>
      <c r="E949" s="8">
        <v>136.941</v>
      </c>
      <c r="F949" s="13"/>
      <c r="G949" s="13" t="s">
        <v>31</v>
      </c>
      <c r="H949" s="13" t="s">
        <v>40</v>
      </c>
      <c r="I949" s="13" t="s">
        <v>41</v>
      </c>
      <c r="J949" s="17">
        <f t="shared" si="14"/>
        <v>2499.8579549999999</v>
      </c>
      <c r="K949" s="15" t="s">
        <v>32</v>
      </c>
      <c r="L949" s="13"/>
      <c r="M949" s="13"/>
      <c r="N949" s="14"/>
    </row>
    <row r="950" spans="1:14" x14ac:dyDescent="0.35">
      <c r="A950" s="16" t="s">
        <v>74</v>
      </c>
      <c r="B950" s="13" t="s">
        <v>42</v>
      </c>
      <c r="C950" s="12">
        <v>45279</v>
      </c>
      <c r="D950" s="8">
        <v>18.625</v>
      </c>
      <c r="E950" s="8">
        <v>161.06180000000001</v>
      </c>
      <c r="F950" s="13"/>
      <c r="G950" s="13" t="s">
        <v>31</v>
      </c>
      <c r="H950" s="13" t="s">
        <v>40</v>
      </c>
      <c r="I950" s="13" t="s">
        <v>43</v>
      </c>
      <c r="J950" s="17">
        <f t="shared" si="14"/>
        <v>2999.7760250000001</v>
      </c>
      <c r="K950" s="15" t="s">
        <v>32</v>
      </c>
      <c r="L950" s="13"/>
      <c r="M950" s="13"/>
      <c r="N950" s="14"/>
    </row>
    <row r="951" spans="1:14" x14ac:dyDescent="0.35">
      <c r="A951" s="16">
        <v>79931510915</v>
      </c>
      <c r="B951" s="13" t="s">
        <v>39</v>
      </c>
      <c r="C951" s="12">
        <v>45282</v>
      </c>
      <c r="D951" s="8">
        <v>23.652000000000001</v>
      </c>
      <c r="E951" s="8">
        <v>126.83199999999999</v>
      </c>
      <c r="F951" s="13"/>
      <c r="G951" s="13" t="s">
        <v>38</v>
      </c>
      <c r="H951" s="13" t="s">
        <v>40</v>
      </c>
      <c r="I951" s="13" t="s">
        <v>41</v>
      </c>
      <c r="J951" s="17">
        <f t="shared" si="14"/>
        <v>2999.8304640000001</v>
      </c>
      <c r="K951" s="15" t="s">
        <v>16</v>
      </c>
      <c r="L951" s="13"/>
      <c r="M951" s="13"/>
      <c r="N951" s="14"/>
    </row>
    <row r="952" spans="1:14" x14ac:dyDescent="0.35">
      <c r="A952" s="16" t="s">
        <v>65</v>
      </c>
      <c r="B952" s="13" t="s">
        <v>54</v>
      </c>
      <c r="C952" s="12">
        <v>45286</v>
      </c>
      <c r="D952" s="8">
        <v>96.28</v>
      </c>
      <c r="E952" s="8">
        <v>51.929000000000002</v>
      </c>
      <c r="F952" s="13"/>
      <c r="G952" s="13" t="s">
        <v>38</v>
      </c>
      <c r="H952" s="13" t="s">
        <v>66</v>
      </c>
      <c r="I952" s="13" t="s">
        <v>55</v>
      </c>
      <c r="J952" s="17">
        <f t="shared" si="14"/>
        <v>4999.7241199999999</v>
      </c>
      <c r="K952" s="15" t="s">
        <v>16</v>
      </c>
      <c r="L952" s="13"/>
      <c r="M952" s="13"/>
      <c r="N952" s="14"/>
    </row>
    <row r="953" spans="1:14" x14ac:dyDescent="0.35">
      <c r="A953" s="16" t="s">
        <v>67</v>
      </c>
      <c r="B953" s="13" t="s">
        <v>54</v>
      </c>
      <c r="C953" s="12">
        <v>45286</v>
      </c>
      <c r="D953" s="8">
        <v>51.929000000000002</v>
      </c>
      <c r="E953" s="8">
        <v>96.28</v>
      </c>
      <c r="F953" s="13"/>
      <c r="G953" s="13" t="s">
        <v>38</v>
      </c>
      <c r="H953" s="13" t="s">
        <v>68</v>
      </c>
      <c r="I953" s="13" t="s">
        <v>55</v>
      </c>
      <c r="J953" s="17">
        <f t="shared" si="14"/>
        <v>4999.7241199999999</v>
      </c>
      <c r="K953" s="15" t="s">
        <v>16</v>
      </c>
      <c r="L953" s="13"/>
      <c r="M953" s="13"/>
      <c r="N953" s="14"/>
    </row>
    <row r="954" spans="1:14" x14ac:dyDescent="0.35">
      <c r="A954" s="16">
        <v>79944037504</v>
      </c>
      <c r="B954" s="13" t="s">
        <v>39</v>
      </c>
      <c r="C954" s="12">
        <v>45286</v>
      </c>
      <c r="D954" s="8">
        <v>36.637</v>
      </c>
      <c r="E954" s="8">
        <v>136.602</v>
      </c>
      <c r="F954" s="13"/>
      <c r="G954" s="13" t="s">
        <v>38</v>
      </c>
      <c r="H954" s="13" t="s">
        <v>40</v>
      </c>
      <c r="I954" s="13" t="s">
        <v>41</v>
      </c>
      <c r="J954" s="17">
        <f t="shared" si="14"/>
        <v>5004.6874740000003</v>
      </c>
      <c r="K954" s="15" t="s">
        <v>16</v>
      </c>
      <c r="L954" s="13"/>
      <c r="M954" s="13"/>
      <c r="N954" s="14"/>
    </row>
    <row r="955" spans="1:14" x14ac:dyDescent="0.35">
      <c r="A955" s="16" t="s">
        <v>48</v>
      </c>
      <c r="B955" s="13" t="s">
        <v>39</v>
      </c>
      <c r="C955" s="12">
        <v>45296</v>
      </c>
      <c r="D955" s="8">
        <v>18.021000000000001</v>
      </c>
      <c r="E955" s="8">
        <v>139.001</v>
      </c>
      <c r="F955" s="13"/>
      <c r="G955" s="13" t="s">
        <v>38</v>
      </c>
      <c r="H955" s="13" t="s">
        <v>40</v>
      </c>
      <c r="I955" s="13" t="s">
        <v>41</v>
      </c>
      <c r="J955" s="17">
        <f t="shared" si="14"/>
        <v>2504.9370210000002</v>
      </c>
      <c r="K955" s="15" t="s">
        <v>16</v>
      </c>
      <c r="L955" s="13"/>
      <c r="M955" s="13"/>
      <c r="N955" s="14"/>
    </row>
    <row r="956" spans="1:14" x14ac:dyDescent="0.35">
      <c r="A956" s="16" t="s">
        <v>53</v>
      </c>
      <c r="B956" s="13" t="s">
        <v>54</v>
      </c>
      <c r="C956" s="12">
        <v>45302</v>
      </c>
      <c r="D956" s="8">
        <v>30.259</v>
      </c>
      <c r="E956" s="8">
        <v>99.14</v>
      </c>
      <c r="F956" s="13"/>
      <c r="G956" s="13" t="s">
        <v>38</v>
      </c>
      <c r="H956" s="13" t="s">
        <v>40</v>
      </c>
      <c r="I956" s="13" t="s">
        <v>55</v>
      </c>
      <c r="J956" s="17">
        <f t="shared" si="14"/>
        <v>2999.8772600000002</v>
      </c>
      <c r="K956" s="15" t="s">
        <v>16</v>
      </c>
      <c r="L956" s="13"/>
      <c r="M956" s="13"/>
      <c r="N956" s="14"/>
    </row>
    <row r="957" spans="1:14" x14ac:dyDescent="0.35">
      <c r="A957" s="16" t="s">
        <v>27</v>
      </c>
      <c r="B957" s="13" t="s">
        <v>56</v>
      </c>
      <c r="C957" s="12">
        <v>45302</v>
      </c>
      <c r="D957" s="8">
        <v>61.993000000000002</v>
      </c>
      <c r="E957" s="8">
        <v>16.13</v>
      </c>
      <c r="F957" s="13"/>
      <c r="G957" s="13" t="s">
        <v>13</v>
      </c>
      <c r="H957" s="13" t="s">
        <v>40</v>
      </c>
      <c r="I957" s="13" t="s">
        <v>57</v>
      </c>
      <c r="J957" s="17">
        <f t="shared" si="14"/>
        <v>999.94709</v>
      </c>
      <c r="K957" s="15" t="s">
        <v>16</v>
      </c>
      <c r="L957" s="13"/>
      <c r="M957" s="13"/>
      <c r="N957" s="14"/>
    </row>
    <row r="958" spans="1:14" x14ac:dyDescent="0.35">
      <c r="A958" s="16">
        <v>79931510915</v>
      </c>
      <c r="B958" s="13" t="s">
        <v>39</v>
      </c>
      <c r="C958" s="12">
        <v>45302</v>
      </c>
      <c r="D958" s="8">
        <v>14.183</v>
      </c>
      <c r="E958" s="8">
        <v>141.00399999999999</v>
      </c>
      <c r="F958" s="13"/>
      <c r="G958" s="13" t="s">
        <v>38</v>
      </c>
      <c r="H958" s="13" t="s">
        <v>40</v>
      </c>
      <c r="I958" s="13" t="s">
        <v>41</v>
      </c>
      <c r="J958" s="17">
        <f t="shared" si="14"/>
        <v>1999.8597319999999</v>
      </c>
      <c r="K958" s="15" t="s">
        <v>16</v>
      </c>
      <c r="L958" s="13"/>
      <c r="M958" s="13"/>
      <c r="N958" s="14"/>
    </row>
    <row r="959" spans="1:14" x14ac:dyDescent="0.35">
      <c r="A959" s="16" t="s">
        <v>49</v>
      </c>
      <c r="B959" s="13" t="s">
        <v>39</v>
      </c>
      <c r="C959" s="12">
        <v>45309</v>
      </c>
      <c r="D959" s="8">
        <v>17.939</v>
      </c>
      <c r="E959" s="8">
        <v>139.35499999999999</v>
      </c>
      <c r="F959" s="13"/>
      <c r="G959" s="13" t="s">
        <v>31</v>
      </c>
      <c r="H959" s="13" t="s">
        <v>40</v>
      </c>
      <c r="I959" s="13" t="s">
        <v>41</v>
      </c>
      <c r="J959" s="17">
        <f t="shared" si="14"/>
        <v>2499.889345</v>
      </c>
      <c r="K959" s="15" t="s">
        <v>32</v>
      </c>
      <c r="L959" s="13"/>
      <c r="M959" s="13"/>
      <c r="N959" s="14"/>
    </row>
    <row r="960" spans="1:14" x14ac:dyDescent="0.35">
      <c r="A960" s="16" t="s">
        <v>74</v>
      </c>
      <c r="B960" s="13" t="s">
        <v>42</v>
      </c>
      <c r="C960" s="12">
        <v>45310</v>
      </c>
      <c r="D960" s="8">
        <v>18.422999999999998</v>
      </c>
      <c r="E960" s="8">
        <v>162.8323</v>
      </c>
      <c r="F960" s="13"/>
      <c r="G960" s="13" t="s">
        <v>31</v>
      </c>
      <c r="H960" s="13" t="s">
        <v>40</v>
      </c>
      <c r="I960" s="13" t="s">
        <v>43</v>
      </c>
      <c r="J960" s="17">
        <f t="shared" si="14"/>
        <v>2999.8594628999999</v>
      </c>
      <c r="K960" s="15" t="s">
        <v>32</v>
      </c>
      <c r="L960" s="13"/>
      <c r="M960" s="13"/>
      <c r="N960" s="14"/>
    </row>
    <row r="961" spans="1:14" x14ac:dyDescent="0.35">
      <c r="A961" s="16">
        <v>79931510915</v>
      </c>
      <c r="B961" s="13" t="s">
        <v>39</v>
      </c>
      <c r="C961" s="12">
        <v>45314</v>
      </c>
      <c r="D961" s="8">
        <v>21.966000000000001</v>
      </c>
      <c r="E961" s="8">
        <v>136.57</v>
      </c>
      <c r="F961" s="13"/>
      <c r="G961" s="13" t="s">
        <v>38</v>
      </c>
      <c r="H961" s="13" t="s">
        <v>40</v>
      </c>
      <c r="I961" s="13" t="s">
        <v>41</v>
      </c>
      <c r="J961" s="17">
        <f t="shared" si="14"/>
        <v>2999.89662</v>
      </c>
      <c r="K961" s="15" t="s">
        <v>16</v>
      </c>
      <c r="L961" s="13"/>
      <c r="M961" s="13"/>
      <c r="N961" s="14"/>
    </row>
    <row r="962" spans="1:14" x14ac:dyDescent="0.35">
      <c r="A962" s="16" t="s">
        <v>65</v>
      </c>
      <c r="B962" s="13" t="s">
        <v>54</v>
      </c>
      <c r="C962" s="12">
        <v>45316</v>
      </c>
      <c r="D962" s="8">
        <v>99.56</v>
      </c>
      <c r="E962" s="8">
        <v>50.218000000000004</v>
      </c>
      <c r="F962" s="13"/>
      <c r="G962" s="13" t="s">
        <v>38</v>
      </c>
      <c r="H962" s="13" t="s">
        <v>66</v>
      </c>
      <c r="I962" s="13" t="s">
        <v>55</v>
      </c>
      <c r="J962" s="17">
        <f t="shared" ref="J962:J1025" si="15">D962*E962</f>
        <v>4999.7040800000004</v>
      </c>
      <c r="K962" s="15" t="s">
        <v>16</v>
      </c>
      <c r="L962" s="13"/>
      <c r="M962" s="13"/>
      <c r="N962" s="14"/>
    </row>
    <row r="963" spans="1:14" x14ac:dyDescent="0.35">
      <c r="A963" s="16" t="s">
        <v>67</v>
      </c>
      <c r="B963" s="13" t="s">
        <v>54</v>
      </c>
      <c r="C963" s="12">
        <v>45316</v>
      </c>
      <c r="D963" s="8">
        <v>50.218000000000004</v>
      </c>
      <c r="E963" s="8">
        <v>99.56</v>
      </c>
      <c r="F963" s="13"/>
      <c r="G963" s="13" t="s">
        <v>38</v>
      </c>
      <c r="H963" s="13" t="s">
        <v>68</v>
      </c>
      <c r="I963" s="13" t="s">
        <v>55</v>
      </c>
      <c r="J963" s="17">
        <f t="shared" si="15"/>
        <v>4999.7040800000004</v>
      </c>
      <c r="K963" s="15" t="s">
        <v>16</v>
      </c>
      <c r="L963" s="13"/>
      <c r="M963" s="13"/>
      <c r="N963" s="14"/>
    </row>
    <row r="964" spans="1:14" x14ac:dyDescent="0.35">
      <c r="A964" s="16">
        <v>79944037504</v>
      </c>
      <c r="B964" s="13" t="s">
        <v>39</v>
      </c>
      <c r="C964" s="12">
        <v>45316</v>
      </c>
      <c r="D964" s="8">
        <v>35.595999999999997</v>
      </c>
      <c r="E964" s="8">
        <v>140.59700000000001</v>
      </c>
      <c r="F964" s="13"/>
      <c r="G964" s="13" t="s">
        <v>38</v>
      </c>
      <c r="H964" s="13" t="s">
        <v>40</v>
      </c>
      <c r="I964" s="13" t="s">
        <v>41</v>
      </c>
      <c r="J964" s="17">
        <f t="shared" si="15"/>
        <v>5004.6908119999998</v>
      </c>
      <c r="K964" s="15" t="s">
        <v>16</v>
      </c>
      <c r="L964" s="13"/>
      <c r="M964" s="13"/>
      <c r="N964" s="14"/>
    </row>
    <row r="965" spans="1:14" x14ac:dyDescent="0.35">
      <c r="A965" s="16" t="s">
        <v>48</v>
      </c>
      <c r="B965" s="13" t="s">
        <v>39</v>
      </c>
      <c r="C965" s="12">
        <v>45323</v>
      </c>
      <c r="D965" s="8">
        <v>17.625</v>
      </c>
      <c r="E965" s="8">
        <v>141.84</v>
      </c>
      <c r="F965" s="13"/>
      <c r="G965" s="13" t="s">
        <v>38</v>
      </c>
      <c r="H965" s="13" t="s">
        <v>40</v>
      </c>
      <c r="I965" s="13" t="s">
        <v>41</v>
      </c>
      <c r="J965" s="17">
        <f t="shared" si="15"/>
        <v>2499.9299999999998</v>
      </c>
      <c r="K965" s="15" t="s">
        <v>16</v>
      </c>
      <c r="L965" s="13"/>
      <c r="M965" s="13"/>
      <c r="N965" s="14"/>
    </row>
    <row r="966" spans="1:14" x14ac:dyDescent="0.35">
      <c r="A966" s="16" t="s">
        <v>48</v>
      </c>
      <c r="B966" s="13" t="s">
        <v>39</v>
      </c>
      <c r="C966" s="12">
        <v>45327</v>
      </c>
      <c r="D966" s="8">
        <v>17.559999999999999</v>
      </c>
      <c r="E966" s="8">
        <v>142.649</v>
      </c>
      <c r="F966" s="13"/>
      <c r="G966" s="13" t="s">
        <v>38</v>
      </c>
      <c r="H966" s="13" t="s">
        <v>40</v>
      </c>
      <c r="I966" s="13" t="s">
        <v>41</v>
      </c>
      <c r="J966" s="17">
        <f t="shared" si="15"/>
        <v>2504.91644</v>
      </c>
      <c r="K966" s="15" t="s">
        <v>16</v>
      </c>
      <c r="L966" s="13"/>
      <c r="M966" s="13"/>
      <c r="N966" s="14"/>
    </row>
    <row r="967" spans="1:14" x14ac:dyDescent="0.35">
      <c r="A967" s="16" t="s">
        <v>48</v>
      </c>
      <c r="B967" s="13" t="s">
        <v>39</v>
      </c>
      <c r="C967" s="12">
        <v>45329</v>
      </c>
      <c r="D967" s="8">
        <v>70.481999999999999</v>
      </c>
      <c r="E967" s="8">
        <v>141.87299999999999</v>
      </c>
      <c r="F967" s="13"/>
      <c r="G967" s="13" t="s">
        <v>38</v>
      </c>
      <c r="H967" s="13" t="s">
        <v>40</v>
      </c>
      <c r="I967" s="13" t="s">
        <v>41</v>
      </c>
      <c r="J967" s="17">
        <f t="shared" si="15"/>
        <v>9999.4927859999989</v>
      </c>
      <c r="K967" s="15" t="s">
        <v>16</v>
      </c>
      <c r="L967" s="13"/>
      <c r="M967" s="13"/>
      <c r="N967" s="14"/>
    </row>
    <row r="968" spans="1:14" x14ac:dyDescent="0.35">
      <c r="A968" s="16" t="s">
        <v>53</v>
      </c>
      <c r="B968" s="13" t="s">
        <v>54</v>
      </c>
      <c r="C968" s="12">
        <v>45334</v>
      </c>
      <c r="D968" s="8">
        <v>30.032</v>
      </c>
      <c r="E968" s="8">
        <v>99.89</v>
      </c>
      <c r="F968" s="13"/>
      <c r="G968" s="13" t="s">
        <v>38</v>
      </c>
      <c r="H968" s="13" t="s">
        <v>40</v>
      </c>
      <c r="I968" s="13" t="s">
        <v>55</v>
      </c>
      <c r="J968" s="17">
        <f t="shared" si="15"/>
        <v>2999.8964799999999</v>
      </c>
      <c r="K968" s="15" t="s">
        <v>16</v>
      </c>
      <c r="L968" s="13"/>
      <c r="M968" s="13"/>
      <c r="N968" s="14"/>
    </row>
    <row r="969" spans="1:14" x14ac:dyDescent="0.35">
      <c r="A969" s="16" t="s">
        <v>27</v>
      </c>
      <c r="B969" s="13" t="s">
        <v>56</v>
      </c>
      <c r="C969" s="12">
        <v>45334</v>
      </c>
      <c r="D969" s="8">
        <v>61.347000000000001</v>
      </c>
      <c r="E969" s="8">
        <v>16.3</v>
      </c>
      <c r="F969" s="13"/>
      <c r="G969" s="13" t="s">
        <v>13</v>
      </c>
      <c r="H969" s="13" t="s">
        <v>40</v>
      </c>
      <c r="I969" s="13" t="s">
        <v>57</v>
      </c>
      <c r="J969" s="17">
        <f t="shared" si="15"/>
        <v>999.95610000000011</v>
      </c>
      <c r="K969" s="15" t="s">
        <v>16</v>
      </c>
      <c r="L969" s="13"/>
      <c r="M969" s="13"/>
      <c r="N969" s="14"/>
    </row>
    <row r="970" spans="1:14" x14ac:dyDescent="0.35">
      <c r="A970" s="16">
        <v>79931510915</v>
      </c>
      <c r="B970" s="13" t="s">
        <v>39</v>
      </c>
      <c r="C970" s="12">
        <v>45334</v>
      </c>
      <c r="D970" s="8">
        <v>14.151999999999999</v>
      </c>
      <c r="E970" s="8">
        <v>141.315</v>
      </c>
      <c r="F970" s="13"/>
      <c r="G970" s="13" t="s">
        <v>38</v>
      </c>
      <c r="H970" s="13" t="s">
        <v>40</v>
      </c>
      <c r="I970" s="13" t="s">
        <v>41</v>
      </c>
      <c r="J970" s="17">
        <f t="shared" si="15"/>
        <v>1999.8898799999999</v>
      </c>
      <c r="K970" s="15" t="s">
        <v>16</v>
      </c>
      <c r="L970" s="13"/>
      <c r="M970" s="13"/>
      <c r="N970" s="14"/>
    </row>
    <row r="971" spans="1:14" x14ac:dyDescent="0.35">
      <c r="A971" s="16" t="s">
        <v>49</v>
      </c>
      <c r="B971" s="13" t="s">
        <v>39</v>
      </c>
      <c r="C971" s="12">
        <v>45341</v>
      </c>
      <c r="D971" s="8">
        <v>17.381</v>
      </c>
      <c r="E971" s="8">
        <v>143.83199999999999</v>
      </c>
      <c r="F971" s="13"/>
      <c r="G971" s="13" t="s">
        <v>31</v>
      </c>
      <c r="H971" s="13" t="s">
        <v>40</v>
      </c>
      <c r="I971" s="13" t="s">
        <v>41</v>
      </c>
      <c r="J971" s="17">
        <f t="shared" si="15"/>
        <v>2499.943992</v>
      </c>
      <c r="K971" s="15" t="s">
        <v>32</v>
      </c>
      <c r="L971" s="13"/>
      <c r="M971" s="13"/>
      <c r="N971" s="14"/>
    </row>
    <row r="972" spans="1:14" x14ac:dyDescent="0.35">
      <c r="A972" s="16" t="s">
        <v>74</v>
      </c>
      <c r="B972" s="13" t="s">
        <v>42</v>
      </c>
      <c r="C972" s="12">
        <v>45343</v>
      </c>
      <c r="D972" s="8">
        <v>17.722999999999999</v>
      </c>
      <c r="E972" s="8">
        <v>169.26089999999999</v>
      </c>
      <c r="F972" s="13"/>
      <c r="G972" s="13" t="s">
        <v>31</v>
      </c>
      <c r="H972" s="13" t="s">
        <v>40</v>
      </c>
      <c r="I972" s="13" t="s">
        <v>43</v>
      </c>
      <c r="J972" s="17">
        <f t="shared" si="15"/>
        <v>2999.8109306999995</v>
      </c>
      <c r="K972" s="15" t="s">
        <v>32</v>
      </c>
      <c r="L972" s="13"/>
      <c r="M972" s="13"/>
      <c r="N972" s="14"/>
    </row>
    <row r="973" spans="1:14" x14ac:dyDescent="0.35">
      <c r="A973" s="16">
        <v>79931510915</v>
      </c>
      <c r="B973" s="13" t="s">
        <v>39</v>
      </c>
      <c r="C973" s="12">
        <v>45344</v>
      </c>
      <c r="D973" s="8">
        <v>20.736000000000001</v>
      </c>
      <c r="E973" s="8">
        <v>144.66800000000001</v>
      </c>
      <c r="F973" s="13"/>
      <c r="G973" s="13" t="s">
        <v>38</v>
      </c>
      <c r="H973" s="13" t="s">
        <v>40</v>
      </c>
      <c r="I973" s="13" t="s">
        <v>41</v>
      </c>
      <c r="J973" s="17">
        <f t="shared" si="15"/>
        <v>2999.8356480000002</v>
      </c>
      <c r="K973" s="15" t="s">
        <v>16</v>
      </c>
      <c r="L973" s="13"/>
      <c r="M973" s="13"/>
      <c r="N973" s="14"/>
    </row>
    <row r="974" spans="1:14" x14ac:dyDescent="0.35">
      <c r="A974" s="16" t="s">
        <v>65</v>
      </c>
      <c r="B974" s="13" t="s">
        <v>54</v>
      </c>
      <c r="C974" s="12">
        <v>45348</v>
      </c>
      <c r="D974" s="8">
        <v>102.26</v>
      </c>
      <c r="E974" s="8">
        <v>48.893000000000001</v>
      </c>
      <c r="F974" s="13"/>
      <c r="G974" s="13" t="s">
        <v>38</v>
      </c>
      <c r="H974" s="13" t="s">
        <v>66</v>
      </c>
      <c r="I974" s="13" t="s">
        <v>55</v>
      </c>
      <c r="J974" s="17">
        <f t="shared" si="15"/>
        <v>4999.7981800000007</v>
      </c>
      <c r="K974" s="15" t="s">
        <v>16</v>
      </c>
      <c r="L974" s="13"/>
      <c r="M974" s="13"/>
      <c r="N974" s="14"/>
    </row>
    <row r="975" spans="1:14" x14ac:dyDescent="0.35">
      <c r="A975" s="16" t="s">
        <v>67</v>
      </c>
      <c r="B975" s="13" t="s">
        <v>54</v>
      </c>
      <c r="C975" s="12">
        <v>45348</v>
      </c>
      <c r="D975" s="8">
        <v>48.893000000000001</v>
      </c>
      <c r="E975" s="8">
        <v>102.26</v>
      </c>
      <c r="F975" s="13"/>
      <c r="G975" s="13" t="s">
        <v>38</v>
      </c>
      <c r="H975" s="13" t="s">
        <v>68</v>
      </c>
      <c r="I975" s="13" t="s">
        <v>55</v>
      </c>
      <c r="J975" s="17">
        <f t="shared" si="15"/>
        <v>4999.7981800000007</v>
      </c>
      <c r="K975" s="15" t="s">
        <v>16</v>
      </c>
      <c r="L975" s="13"/>
      <c r="M975" s="13"/>
      <c r="N975" s="14"/>
    </row>
    <row r="976" spans="1:14" x14ac:dyDescent="0.35">
      <c r="A976" s="16">
        <v>79944037504</v>
      </c>
      <c r="B976" s="13" t="s">
        <v>39</v>
      </c>
      <c r="C976" s="12">
        <v>45348</v>
      </c>
      <c r="D976" s="8">
        <v>34.536000000000001</v>
      </c>
      <c r="E976" s="8">
        <v>144.91200000000001</v>
      </c>
      <c r="F976" s="13"/>
      <c r="G976" s="13" t="s">
        <v>38</v>
      </c>
      <c r="H976" s="13" t="s">
        <v>40</v>
      </c>
      <c r="I976" s="13" t="s">
        <v>41</v>
      </c>
      <c r="J976" s="17">
        <f t="shared" si="15"/>
        <v>5004.680832</v>
      </c>
      <c r="K976" s="15" t="s">
        <v>16</v>
      </c>
      <c r="L976" s="13"/>
      <c r="M976" s="13"/>
      <c r="N976" s="14"/>
    </row>
    <row r="977" spans="1:14" x14ac:dyDescent="0.35">
      <c r="A977" s="16" t="s">
        <v>48</v>
      </c>
      <c r="B977" s="13" t="s">
        <v>39</v>
      </c>
      <c r="C977" s="12">
        <v>45352</v>
      </c>
      <c r="D977" s="8">
        <v>17.128</v>
      </c>
      <c r="E977" s="8">
        <v>145.952</v>
      </c>
      <c r="F977" s="13"/>
      <c r="G977" s="13" t="s">
        <v>38</v>
      </c>
      <c r="H977" s="13" t="s">
        <v>40</v>
      </c>
      <c r="I977" s="13" t="s">
        <v>41</v>
      </c>
      <c r="J977" s="17">
        <f t="shared" si="15"/>
        <v>2499.8658559999999</v>
      </c>
      <c r="K977" s="15" t="s">
        <v>16</v>
      </c>
      <c r="L977" s="13"/>
      <c r="M977" s="13"/>
      <c r="N977" s="14"/>
    </row>
    <row r="978" spans="1:14" x14ac:dyDescent="0.35">
      <c r="A978" s="16" t="s">
        <v>48</v>
      </c>
      <c r="B978" s="13" t="s">
        <v>39</v>
      </c>
      <c r="C978" s="12">
        <v>45356</v>
      </c>
      <c r="D978" s="8">
        <v>17.222000000000001</v>
      </c>
      <c r="E978" s="8">
        <v>142.649</v>
      </c>
      <c r="F978" s="13"/>
      <c r="G978" s="13" t="s">
        <v>38</v>
      </c>
      <c r="H978" s="13" t="s">
        <v>40</v>
      </c>
      <c r="I978" s="13" t="s">
        <v>41</v>
      </c>
      <c r="J978" s="17">
        <f t="shared" si="15"/>
        <v>2456.7010780000001</v>
      </c>
      <c r="K978" s="15" t="s">
        <v>16</v>
      </c>
      <c r="L978" s="13"/>
      <c r="M978" s="13"/>
      <c r="N978" s="14"/>
    </row>
    <row r="979" spans="1:14" x14ac:dyDescent="0.35">
      <c r="A979" s="16" t="s">
        <v>48</v>
      </c>
      <c r="B979" s="13" t="s">
        <v>39</v>
      </c>
      <c r="C979" s="12">
        <v>45358</v>
      </c>
      <c r="D979" s="8">
        <v>69.263999999999996</v>
      </c>
      <c r="E979" s="8">
        <v>144.36699999999999</v>
      </c>
      <c r="F979" s="13"/>
      <c r="G979" s="13" t="s">
        <v>38</v>
      </c>
      <c r="H979" s="13" t="s">
        <v>40</v>
      </c>
      <c r="I979" s="13" t="s">
        <v>41</v>
      </c>
      <c r="J979" s="17">
        <f t="shared" si="15"/>
        <v>9999.4358879999982</v>
      </c>
      <c r="K979" s="15" t="s">
        <v>16</v>
      </c>
      <c r="L979" s="13"/>
      <c r="M979" s="13"/>
      <c r="N979" s="14"/>
    </row>
    <row r="980" spans="1:14" x14ac:dyDescent="0.35">
      <c r="A980" s="16" t="s">
        <v>53</v>
      </c>
      <c r="B980" s="13" t="s">
        <v>54</v>
      </c>
      <c r="C980" s="12">
        <v>45362</v>
      </c>
      <c r="D980" s="8">
        <v>32.076999999999998</v>
      </c>
      <c r="E980" s="8">
        <v>93.52</v>
      </c>
      <c r="F980" s="13"/>
      <c r="G980" s="13" t="s">
        <v>38</v>
      </c>
      <c r="H980" s="13" t="s">
        <v>40</v>
      </c>
      <c r="I980" s="13" t="s">
        <v>55</v>
      </c>
      <c r="J980" s="17">
        <f t="shared" si="15"/>
        <v>2999.8410399999998</v>
      </c>
      <c r="K980" s="15" t="s">
        <v>16</v>
      </c>
      <c r="L980" s="13"/>
      <c r="M980" s="13"/>
      <c r="N980" s="14"/>
    </row>
    <row r="981" spans="1:14" x14ac:dyDescent="0.35">
      <c r="A981" s="16" t="s">
        <v>27</v>
      </c>
      <c r="B981" s="13" t="s">
        <v>56</v>
      </c>
      <c r="C981" s="12">
        <v>45362</v>
      </c>
      <c r="D981" s="8">
        <v>60.566000000000003</v>
      </c>
      <c r="E981" s="8">
        <v>16.510000000000002</v>
      </c>
      <c r="F981" s="13"/>
      <c r="G981" s="13" t="s">
        <v>13</v>
      </c>
      <c r="H981" s="13" t="s">
        <v>40</v>
      </c>
      <c r="I981" s="13" t="s">
        <v>57</v>
      </c>
      <c r="J981" s="17">
        <f t="shared" si="15"/>
        <v>999.94466000000011</v>
      </c>
      <c r="K981" s="15" t="s">
        <v>16</v>
      </c>
      <c r="L981" s="13"/>
      <c r="M981" s="13"/>
      <c r="N981" s="14"/>
    </row>
    <row r="982" spans="1:14" x14ac:dyDescent="0.35">
      <c r="A982" s="16">
        <v>79931510915</v>
      </c>
      <c r="B982" s="13" t="s">
        <v>39</v>
      </c>
      <c r="C982" s="12">
        <v>45362</v>
      </c>
      <c r="D982" s="8">
        <v>14.368</v>
      </c>
      <c r="E982" s="8">
        <v>139.19200000000001</v>
      </c>
      <c r="F982" s="13"/>
      <c r="G982" s="13" t="s">
        <v>38</v>
      </c>
      <c r="H982" s="13" t="s">
        <v>40</v>
      </c>
      <c r="I982" s="13" t="s">
        <v>41</v>
      </c>
      <c r="J982" s="17">
        <f t="shared" si="15"/>
        <v>1999.9106560000002</v>
      </c>
      <c r="K982" s="15" t="s">
        <v>16</v>
      </c>
      <c r="L982" s="13"/>
      <c r="M982" s="13"/>
      <c r="N982" s="14"/>
    </row>
    <row r="983" spans="1:14" x14ac:dyDescent="0.35">
      <c r="A983" s="16" t="s">
        <v>24</v>
      </c>
      <c r="B983" s="13" t="s">
        <v>75</v>
      </c>
      <c r="C983" s="12">
        <v>45365</v>
      </c>
      <c r="D983" s="8">
        <v>500.77600000000001</v>
      </c>
      <c r="E983" s="8">
        <v>9.984</v>
      </c>
      <c r="F983" s="13"/>
      <c r="G983" s="13" t="s">
        <v>13</v>
      </c>
      <c r="H983" s="13" t="s">
        <v>35</v>
      </c>
      <c r="I983" s="13" t="s">
        <v>76</v>
      </c>
      <c r="J983" s="17">
        <f t="shared" si="15"/>
        <v>4999.7475839999997</v>
      </c>
      <c r="K983" s="15" t="s">
        <v>16</v>
      </c>
      <c r="L983" s="13"/>
      <c r="M983" s="13"/>
      <c r="N983" s="14"/>
    </row>
    <row r="984" spans="1:14" x14ac:dyDescent="0.35">
      <c r="A984" s="16" t="s">
        <v>49</v>
      </c>
      <c r="B984" s="13" t="s">
        <v>39</v>
      </c>
      <c r="C984" s="12">
        <v>45369</v>
      </c>
      <c r="D984" s="8">
        <v>17.739999999999998</v>
      </c>
      <c r="E984" s="8">
        <v>140.91399999999999</v>
      </c>
      <c r="F984" s="13"/>
      <c r="G984" s="13" t="s">
        <v>31</v>
      </c>
      <c r="H984" s="13" t="s">
        <v>40</v>
      </c>
      <c r="I984" s="13" t="s">
        <v>41</v>
      </c>
      <c r="J984" s="17">
        <f t="shared" si="15"/>
        <v>2499.8143599999994</v>
      </c>
      <c r="K984" s="15" t="s">
        <v>32</v>
      </c>
      <c r="L984" s="13"/>
      <c r="M984" s="13"/>
      <c r="N984" s="14"/>
    </row>
    <row r="985" spans="1:14" x14ac:dyDescent="0.35">
      <c r="A985" s="16" t="s">
        <v>74</v>
      </c>
      <c r="B985" s="13" t="s">
        <v>42</v>
      </c>
      <c r="C985" s="12">
        <v>45371</v>
      </c>
      <c r="D985" s="8">
        <v>18.509</v>
      </c>
      <c r="E985" s="8">
        <v>162.07689999999999</v>
      </c>
      <c r="F985" s="13"/>
      <c r="G985" s="13" t="s">
        <v>31</v>
      </c>
      <c r="H985" s="13" t="s">
        <v>40</v>
      </c>
      <c r="I985" s="13" t="s">
        <v>43</v>
      </c>
      <c r="J985" s="17">
        <f t="shared" si="15"/>
        <v>2999.8813421</v>
      </c>
      <c r="K985" s="15" t="s">
        <v>32</v>
      </c>
      <c r="L985" s="13"/>
      <c r="M985" s="13"/>
      <c r="N985" s="14"/>
    </row>
    <row r="986" spans="1:14" x14ac:dyDescent="0.35">
      <c r="A986" s="16">
        <v>79931510915</v>
      </c>
      <c r="B986" s="13" t="s">
        <v>39</v>
      </c>
      <c r="C986" s="12">
        <v>45373</v>
      </c>
      <c r="D986" s="8">
        <v>21.138000000000002</v>
      </c>
      <c r="E986" s="8">
        <v>141.91800000000001</v>
      </c>
      <c r="F986" s="13"/>
      <c r="G986" s="13" t="s">
        <v>38</v>
      </c>
      <c r="H986" s="13" t="s">
        <v>40</v>
      </c>
      <c r="I986" s="13" t="s">
        <v>41</v>
      </c>
      <c r="J986" s="17">
        <f t="shared" si="15"/>
        <v>2999.8626840000002</v>
      </c>
      <c r="K986" s="15" t="s">
        <v>16</v>
      </c>
      <c r="L986" s="13"/>
      <c r="M986" s="13"/>
      <c r="N986" s="14"/>
    </row>
    <row r="987" spans="1:14" x14ac:dyDescent="0.35">
      <c r="A987" s="16" t="s">
        <v>65</v>
      </c>
      <c r="B987" s="13" t="s">
        <v>54</v>
      </c>
      <c r="C987" s="12">
        <v>45377</v>
      </c>
      <c r="D987" s="8">
        <v>97.08</v>
      </c>
      <c r="E987" s="8">
        <v>51.500999999999998</v>
      </c>
      <c r="F987" s="13"/>
      <c r="G987" s="13" t="s">
        <v>38</v>
      </c>
      <c r="H987" s="13" t="s">
        <v>66</v>
      </c>
      <c r="I987" s="13" t="s">
        <v>55</v>
      </c>
      <c r="J987" s="17">
        <f t="shared" si="15"/>
        <v>4999.7170799999994</v>
      </c>
      <c r="K987" s="15" t="s">
        <v>16</v>
      </c>
      <c r="L987" s="13"/>
      <c r="M987" s="13"/>
      <c r="N987" s="14"/>
    </row>
    <row r="988" spans="1:14" x14ac:dyDescent="0.35">
      <c r="A988" s="16" t="s">
        <v>67</v>
      </c>
      <c r="B988" s="13" t="s">
        <v>54</v>
      </c>
      <c r="C988" s="12">
        <v>45377</v>
      </c>
      <c r="D988" s="8">
        <v>51.500999999999998</v>
      </c>
      <c r="E988" s="8">
        <v>97.08</v>
      </c>
      <c r="F988" s="13"/>
      <c r="G988" s="13" t="s">
        <v>38</v>
      </c>
      <c r="H988" s="13" t="s">
        <v>68</v>
      </c>
      <c r="I988" s="13" t="s">
        <v>55</v>
      </c>
      <c r="J988" s="17">
        <f t="shared" si="15"/>
        <v>4999.7170799999994</v>
      </c>
      <c r="K988" s="15" t="s">
        <v>16</v>
      </c>
      <c r="L988" s="13"/>
      <c r="M988" s="13"/>
      <c r="N988" s="14"/>
    </row>
    <row r="989" spans="1:14" x14ac:dyDescent="0.35">
      <c r="A989" s="16">
        <v>79944037504</v>
      </c>
      <c r="B989" s="13" t="s">
        <v>39</v>
      </c>
      <c r="C989" s="12">
        <v>45377</v>
      </c>
      <c r="D989" s="8">
        <v>35.265000000000001</v>
      </c>
      <c r="E989" s="8">
        <v>141.91800000000001</v>
      </c>
      <c r="F989" s="13"/>
      <c r="G989" s="13" t="s">
        <v>38</v>
      </c>
      <c r="H989" s="13" t="s">
        <v>40</v>
      </c>
      <c r="I989" s="13" t="s">
        <v>41</v>
      </c>
      <c r="J989" s="17">
        <f t="shared" si="15"/>
        <v>5004.7382700000007</v>
      </c>
      <c r="K989" s="15" t="s">
        <v>16</v>
      </c>
      <c r="L989" s="13"/>
      <c r="M989" s="13"/>
      <c r="N989" s="14"/>
    </row>
    <row r="990" spans="1:14" x14ac:dyDescent="0.35">
      <c r="A990" s="16" t="s">
        <v>48</v>
      </c>
      <c r="B990" s="13" t="s">
        <v>39</v>
      </c>
      <c r="C990" s="12">
        <v>45383</v>
      </c>
      <c r="D990" s="8">
        <v>17.09</v>
      </c>
      <c r="E990" s="8">
        <v>146.279</v>
      </c>
      <c r="F990" s="13"/>
      <c r="G990" s="13" t="s">
        <v>38</v>
      </c>
      <c r="H990" s="13" t="s">
        <v>40</v>
      </c>
      <c r="I990" s="13" t="s">
        <v>41</v>
      </c>
      <c r="J990" s="17">
        <f t="shared" si="15"/>
        <v>2499.9081099999999</v>
      </c>
      <c r="K990" s="15" t="s">
        <v>16</v>
      </c>
      <c r="L990" s="13"/>
      <c r="M990" s="13"/>
      <c r="N990" s="14"/>
    </row>
    <row r="991" spans="1:14" x14ac:dyDescent="0.35">
      <c r="A991" s="16" t="s">
        <v>48</v>
      </c>
      <c r="B991" s="13" t="s">
        <v>39</v>
      </c>
      <c r="C991" s="12">
        <v>45387</v>
      </c>
      <c r="D991" s="8">
        <v>16.908000000000001</v>
      </c>
      <c r="E991" s="8">
        <v>148.14699999999999</v>
      </c>
      <c r="F991" s="13"/>
      <c r="G991" s="13" t="s">
        <v>38</v>
      </c>
      <c r="H991" s="13" t="s">
        <v>40</v>
      </c>
      <c r="I991" s="13" t="s">
        <v>41</v>
      </c>
      <c r="J991" s="17">
        <f t="shared" si="15"/>
        <v>2504.8694759999998</v>
      </c>
      <c r="K991" s="15" t="s">
        <v>16</v>
      </c>
      <c r="L991" s="13"/>
      <c r="M991" s="13"/>
      <c r="N991" s="14"/>
    </row>
    <row r="992" spans="1:14" x14ac:dyDescent="0.35">
      <c r="A992" s="16" t="s">
        <v>48</v>
      </c>
      <c r="B992" s="13" t="s">
        <v>39</v>
      </c>
      <c r="C992" s="12">
        <v>45390</v>
      </c>
      <c r="D992" s="8">
        <v>67.073999999999998</v>
      </c>
      <c r="E992" s="8">
        <v>149.08099999999999</v>
      </c>
      <c r="F992" s="13"/>
      <c r="G992" s="13" t="s">
        <v>38</v>
      </c>
      <c r="H992" s="13" t="s">
        <v>40</v>
      </c>
      <c r="I992" s="13" t="s">
        <v>41</v>
      </c>
      <c r="J992" s="17">
        <f t="shared" si="15"/>
        <v>9999.4589939999987</v>
      </c>
      <c r="K992" s="15" t="s">
        <v>16</v>
      </c>
      <c r="L992" s="13"/>
      <c r="M992" s="13"/>
      <c r="N992" s="14"/>
    </row>
    <row r="993" spans="1:14" x14ac:dyDescent="0.35">
      <c r="A993" s="16" t="s">
        <v>53</v>
      </c>
      <c r="B993" s="13" t="s">
        <v>54</v>
      </c>
      <c r="C993" s="12">
        <v>45394</v>
      </c>
      <c r="D993" s="8">
        <v>29.513999999999999</v>
      </c>
      <c r="E993" s="8">
        <v>101.64</v>
      </c>
      <c r="F993" s="13"/>
      <c r="G993" s="13" t="s">
        <v>38</v>
      </c>
      <c r="H993" s="13" t="s">
        <v>40</v>
      </c>
      <c r="I993" s="13" t="s">
        <v>55</v>
      </c>
      <c r="J993" s="17">
        <f t="shared" si="15"/>
        <v>2999.80296</v>
      </c>
      <c r="K993" s="15" t="s">
        <v>16</v>
      </c>
      <c r="L993" s="13"/>
      <c r="M993" s="13"/>
      <c r="N993" s="14"/>
    </row>
    <row r="994" spans="1:14" x14ac:dyDescent="0.35">
      <c r="A994" s="16" t="s">
        <v>27</v>
      </c>
      <c r="B994" s="13" t="s">
        <v>56</v>
      </c>
      <c r="C994" s="12">
        <v>45394</v>
      </c>
      <c r="D994" s="8">
        <v>59.698999999999998</v>
      </c>
      <c r="E994" s="8">
        <v>16.75</v>
      </c>
      <c r="F994" s="13"/>
      <c r="G994" s="13" t="s">
        <v>13</v>
      </c>
      <c r="H994" s="13" t="s">
        <v>40</v>
      </c>
      <c r="I994" s="13" t="s">
        <v>57</v>
      </c>
      <c r="J994" s="17">
        <f t="shared" si="15"/>
        <v>999.95825000000002</v>
      </c>
      <c r="K994" s="15" t="s">
        <v>16</v>
      </c>
      <c r="L994" s="13"/>
      <c r="M994" s="13"/>
      <c r="N994" s="14"/>
    </row>
    <row r="995" spans="1:14" x14ac:dyDescent="0.35">
      <c r="A995" s="16">
        <v>79931510915</v>
      </c>
      <c r="B995" s="13" t="s">
        <v>39</v>
      </c>
      <c r="C995" s="12">
        <v>45394</v>
      </c>
      <c r="D995" s="8">
        <v>13.526</v>
      </c>
      <c r="E995" s="8">
        <v>147.85300000000001</v>
      </c>
      <c r="F995" s="13"/>
      <c r="G995" s="13" t="s">
        <v>38</v>
      </c>
      <c r="H995" s="13" t="s">
        <v>40</v>
      </c>
      <c r="I995" s="13" t="s">
        <v>41</v>
      </c>
      <c r="J995" s="17">
        <f t="shared" si="15"/>
        <v>1999.859678</v>
      </c>
      <c r="K995" s="15" t="s">
        <v>16</v>
      </c>
      <c r="L995" s="13"/>
      <c r="M995" s="13"/>
      <c r="N995" s="14"/>
    </row>
    <row r="996" spans="1:14" x14ac:dyDescent="0.35">
      <c r="A996" s="16" t="s">
        <v>49</v>
      </c>
      <c r="B996" s="13" t="s">
        <v>39</v>
      </c>
      <c r="C996" s="12">
        <v>45400</v>
      </c>
      <c r="D996" s="8">
        <v>17.117000000000001</v>
      </c>
      <c r="E996" s="8">
        <v>146.04300000000001</v>
      </c>
      <c r="F996" s="13"/>
      <c r="G996" s="13" t="s">
        <v>31</v>
      </c>
      <c r="H996" s="13" t="s">
        <v>40</v>
      </c>
      <c r="I996" s="13" t="s">
        <v>41</v>
      </c>
      <c r="J996" s="17">
        <f t="shared" si="15"/>
        <v>2499.8180310000002</v>
      </c>
      <c r="K996" s="15" t="s">
        <v>32</v>
      </c>
      <c r="L996" s="13"/>
      <c r="M996" s="13"/>
      <c r="N996" s="14"/>
    </row>
    <row r="997" spans="1:14" x14ac:dyDescent="0.35">
      <c r="A997" s="16">
        <v>79931510915</v>
      </c>
      <c r="B997" s="13" t="s">
        <v>39</v>
      </c>
      <c r="C997" s="12">
        <v>45404</v>
      </c>
      <c r="D997" s="8">
        <v>20.451000000000001</v>
      </c>
      <c r="E997" s="8">
        <v>146.68600000000001</v>
      </c>
      <c r="F997" s="13"/>
      <c r="G997" s="13" t="s">
        <v>38</v>
      </c>
      <c r="H997" s="13" t="s">
        <v>40</v>
      </c>
      <c r="I997" s="13" t="s">
        <v>41</v>
      </c>
      <c r="J997" s="17">
        <f t="shared" si="15"/>
        <v>2999.8753860000002</v>
      </c>
      <c r="K997" s="15" t="s">
        <v>16</v>
      </c>
      <c r="L997" s="13"/>
      <c r="M997" s="13"/>
      <c r="N997" s="14"/>
    </row>
    <row r="998" spans="1:14" x14ac:dyDescent="0.35">
      <c r="A998" s="16" t="s">
        <v>74</v>
      </c>
      <c r="B998" s="13" t="s">
        <v>42</v>
      </c>
      <c r="C998" s="12">
        <v>45404</v>
      </c>
      <c r="D998" s="8">
        <v>16.923999999999999</v>
      </c>
      <c r="E998" s="8">
        <v>177.2586</v>
      </c>
      <c r="F998" s="13"/>
      <c r="G998" s="13" t="s">
        <v>31</v>
      </c>
      <c r="H998" s="13" t="s">
        <v>40</v>
      </c>
      <c r="I998" s="13" t="s">
        <v>43</v>
      </c>
      <c r="J998" s="17">
        <f t="shared" si="15"/>
        <v>2999.9245464000001</v>
      </c>
      <c r="K998" s="15" t="s">
        <v>32</v>
      </c>
      <c r="L998" s="13"/>
      <c r="M998" s="13"/>
      <c r="N998" s="14"/>
    </row>
    <row r="999" spans="1:14" x14ac:dyDescent="0.35">
      <c r="A999" s="16" t="s">
        <v>65</v>
      </c>
      <c r="B999" s="13" t="s">
        <v>54</v>
      </c>
      <c r="C999" s="12">
        <v>45407</v>
      </c>
      <c r="D999" s="8">
        <v>103.52</v>
      </c>
      <c r="E999" s="8">
        <v>48.296999999999997</v>
      </c>
      <c r="F999" s="13"/>
      <c r="G999" s="13" t="s">
        <v>38</v>
      </c>
      <c r="H999" s="13" t="s">
        <v>66</v>
      </c>
      <c r="I999" s="13" t="s">
        <v>55</v>
      </c>
      <c r="J999" s="17">
        <f t="shared" si="15"/>
        <v>4999.7054399999997</v>
      </c>
      <c r="K999" s="15" t="s">
        <v>16</v>
      </c>
      <c r="L999" s="13"/>
      <c r="M999" s="13"/>
      <c r="N999" s="14"/>
    </row>
    <row r="1000" spans="1:14" x14ac:dyDescent="0.35">
      <c r="A1000" s="16" t="s">
        <v>67</v>
      </c>
      <c r="B1000" s="13" t="s">
        <v>54</v>
      </c>
      <c r="C1000" s="12">
        <v>45407</v>
      </c>
      <c r="D1000" s="8">
        <v>48.296999999999997</v>
      </c>
      <c r="E1000" s="8">
        <v>103.52</v>
      </c>
      <c r="F1000" s="13"/>
      <c r="G1000" s="13" t="s">
        <v>38</v>
      </c>
      <c r="H1000" s="13" t="s">
        <v>68</v>
      </c>
      <c r="I1000" s="13" t="s">
        <v>55</v>
      </c>
      <c r="J1000" s="17">
        <f t="shared" si="15"/>
        <v>4999.7054399999997</v>
      </c>
      <c r="K1000" s="15" t="s">
        <v>16</v>
      </c>
      <c r="L1000" s="13"/>
      <c r="M1000" s="13"/>
      <c r="N1000" s="14"/>
    </row>
    <row r="1001" spans="1:14" x14ac:dyDescent="0.35">
      <c r="A1001" s="16">
        <v>79944037504</v>
      </c>
      <c r="B1001" s="13" t="s">
        <v>39</v>
      </c>
      <c r="C1001" s="12">
        <v>45407</v>
      </c>
      <c r="D1001" s="8">
        <v>33.753</v>
      </c>
      <c r="E1001" s="8">
        <v>148.27500000000001</v>
      </c>
      <c r="F1001" s="13"/>
      <c r="G1001" s="13" t="s">
        <v>38</v>
      </c>
      <c r="H1001" s="13" t="s">
        <v>40</v>
      </c>
      <c r="I1001" s="13" t="s">
        <v>41</v>
      </c>
      <c r="J1001" s="17">
        <f t="shared" si="15"/>
        <v>5004.7260750000005</v>
      </c>
      <c r="K1001" s="15" t="s">
        <v>16</v>
      </c>
      <c r="L1001" s="13"/>
      <c r="M1001" s="13"/>
      <c r="N1001" s="14"/>
    </row>
    <row r="1002" spans="1:14" x14ac:dyDescent="0.35">
      <c r="A1002" s="16" t="s">
        <v>48</v>
      </c>
      <c r="B1002" s="13" t="s">
        <v>39</v>
      </c>
      <c r="C1002" s="12">
        <v>45414</v>
      </c>
      <c r="D1002" s="8">
        <v>16.696000000000002</v>
      </c>
      <c r="E1002" s="8">
        <v>149.72999999999999</v>
      </c>
      <c r="F1002" s="13"/>
      <c r="G1002" s="13" t="s">
        <v>38</v>
      </c>
      <c r="H1002" s="13" t="s">
        <v>40</v>
      </c>
      <c r="I1002" s="13" t="s">
        <v>41</v>
      </c>
      <c r="J1002" s="17">
        <f t="shared" si="15"/>
        <v>2499.8920800000001</v>
      </c>
      <c r="K1002" s="15" t="s">
        <v>16</v>
      </c>
      <c r="L1002" s="13"/>
      <c r="M1002" s="13"/>
      <c r="N1002" s="14"/>
    </row>
    <row r="1003" spans="1:14" x14ac:dyDescent="0.35">
      <c r="A1003" s="16" t="s">
        <v>48</v>
      </c>
      <c r="B1003" s="13" t="s">
        <v>39</v>
      </c>
      <c r="C1003" s="12">
        <v>45418</v>
      </c>
      <c r="D1003" s="8">
        <v>17.044</v>
      </c>
      <c r="E1003" s="8">
        <v>146.965</v>
      </c>
      <c r="F1003" s="13"/>
      <c r="G1003" s="13" t="s">
        <v>38</v>
      </c>
      <c r="H1003" s="13" t="s">
        <v>40</v>
      </c>
      <c r="I1003" s="13" t="s">
        <v>41</v>
      </c>
      <c r="J1003" s="17">
        <f t="shared" si="15"/>
        <v>2504.8714600000003</v>
      </c>
      <c r="K1003" s="15" t="s">
        <v>16</v>
      </c>
      <c r="L1003" s="13"/>
      <c r="M1003" s="13"/>
      <c r="N1003" s="14"/>
    </row>
    <row r="1004" spans="1:14" x14ac:dyDescent="0.35">
      <c r="A1004" s="16" t="s">
        <v>48</v>
      </c>
      <c r="B1004" s="13" t="s">
        <v>39</v>
      </c>
      <c r="C1004" s="12">
        <v>45419</v>
      </c>
      <c r="D1004" s="8">
        <v>67.457999999999998</v>
      </c>
      <c r="E1004" s="8">
        <v>148.233</v>
      </c>
      <c r="F1004" s="13"/>
      <c r="G1004" s="13" t="s">
        <v>38</v>
      </c>
      <c r="H1004" s="13" t="s">
        <v>40</v>
      </c>
      <c r="I1004" s="13" t="s">
        <v>41</v>
      </c>
      <c r="J1004" s="17">
        <f t="shared" si="15"/>
        <v>9999.501714</v>
      </c>
      <c r="K1004" s="15" t="s">
        <v>16</v>
      </c>
      <c r="L1004" s="13"/>
      <c r="M1004" s="13"/>
      <c r="N1004" s="14"/>
    </row>
    <row r="1005" spans="1:14" x14ac:dyDescent="0.35">
      <c r="A1005" s="16" t="s">
        <v>74</v>
      </c>
      <c r="B1005" s="13" t="s">
        <v>42</v>
      </c>
      <c r="C1005" s="12">
        <v>45433</v>
      </c>
      <c r="D1005" s="8">
        <v>16.234999999999999</v>
      </c>
      <c r="E1005" s="8">
        <v>184.7749</v>
      </c>
      <c r="F1005" s="13"/>
      <c r="G1005" s="13" t="s">
        <v>31</v>
      </c>
      <c r="H1005" s="13" t="s">
        <v>40</v>
      </c>
      <c r="I1005" s="13" t="s">
        <v>43</v>
      </c>
      <c r="J1005" s="17">
        <f t="shared" si="15"/>
        <v>2999.8205014999999</v>
      </c>
      <c r="K1005" s="15" t="s">
        <v>32</v>
      </c>
      <c r="L1005" s="13"/>
      <c r="M1005" s="13"/>
      <c r="N1005" s="14"/>
    </row>
    <row r="1006" spans="1:14" x14ac:dyDescent="0.35">
      <c r="A1006" s="16" t="s">
        <v>49</v>
      </c>
      <c r="B1006" s="13" t="s">
        <v>39</v>
      </c>
      <c r="C1006" s="12">
        <v>45433</v>
      </c>
      <c r="D1006" s="8">
        <v>16.440999999999999</v>
      </c>
      <c r="E1006" s="8">
        <v>152.054</v>
      </c>
      <c r="F1006" s="13"/>
      <c r="G1006" s="13" t="s">
        <v>31</v>
      </c>
      <c r="H1006" s="13" t="s">
        <v>40</v>
      </c>
      <c r="I1006" s="13" t="s">
        <v>41</v>
      </c>
      <c r="J1006" s="17">
        <f t="shared" si="15"/>
        <v>2499.9198139999999</v>
      </c>
      <c r="K1006" s="15" t="s">
        <v>32</v>
      </c>
      <c r="L1006" s="13"/>
      <c r="M1006" s="13"/>
      <c r="N1006" s="14"/>
    </row>
    <row r="1007" spans="1:14" x14ac:dyDescent="0.35">
      <c r="A1007" s="16" t="s">
        <v>48</v>
      </c>
      <c r="B1007" s="13" t="s">
        <v>39</v>
      </c>
      <c r="C1007" s="12">
        <v>45446</v>
      </c>
      <c r="D1007" s="8">
        <v>17.253</v>
      </c>
      <c r="E1007" s="8">
        <v>144.89699999999999</v>
      </c>
      <c r="F1007" s="13"/>
      <c r="G1007" s="13" t="s">
        <v>38</v>
      </c>
      <c r="H1007" s="13" t="s">
        <v>40</v>
      </c>
      <c r="I1007" s="13" t="s">
        <v>41</v>
      </c>
      <c r="J1007" s="17">
        <f t="shared" si="15"/>
        <v>2499.9079409999999</v>
      </c>
      <c r="K1007" s="15" t="s">
        <v>16</v>
      </c>
      <c r="L1007" s="13"/>
      <c r="M1007" s="13"/>
      <c r="N1007" s="14"/>
    </row>
    <row r="1008" spans="1:14" x14ac:dyDescent="0.35">
      <c r="A1008" s="16" t="s">
        <v>48</v>
      </c>
      <c r="B1008" s="13" t="s">
        <v>39</v>
      </c>
      <c r="C1008" s="12">
        <v>45448</v>
      </c>
      <c r="D1008" s="8">
        <v>16.405000000000001</v>
      </c>
      <c r="E1008" s="8">
        <v>152.68600000000001</v>
      </c>
      <c r="F1008" s="13"/>
      <c r="G1008" s="13" t="s">
        <v>38</v>
      </c>
      <c r="H1008" s="13" t="s">
        <v>40</v>
      </c>
      <c r="I1008" s="13" t="s">
        <v>41</v>
      </c>
      <c r="J1008" s="17">
        <f t="shared" si="15"/>
        <v>2504.8138300000005</v>
      </c>
      <c r="K1008" s="15" t="s">
        <v>16</v>
      </c>
      <c r="L1008" s="13"/>
      <c r="M1008" s="13"/>
      <c r="N1008" s="14"/>
    </row>
    <row r="1009" spans="1:14" x14ac:dyDescent="0.35">
      <c r="A1009" s="16" t="s">
        <v>48</v>
      </c>
      <c r="B1009" s="13" t="s">
        <v>39</v>
      </c>
      <c r="C1009" s="12">
        <v>45450</v>
      </c>
      <c r="D1009" s="8">
        <v>64.078999999999994</v>
      </c>
      <c r="E1009" s="8">
        <v>156.04900000000001</v>
      </c>
      <c r="F1009" s="13"/>
      <c r="G1009" s="13" t="s">
        <v>38</v>
      </c>
      <c r="H1009" s="13" t="s">
        <v>40</v>
      </c>
      <c r="I1009" s="13" t="s">
        <v>41</v>
      </c>
      <c r="J1009" s="17">
        <f t="shared" si="15"/>
        <v>9999.4638709999999</v>
      </c>
      <c r="K1009" s="15" t="s">
        <v>16</v>
      </c>
      <c r="L1009" s="13"/>
      <c r="M1009" s="13"/>
      <c r="N1009" s="14"/>
    </row>
    <row r="1010" spans="1:14" x14ac:dyDescent="0.35">
      <c r="A1010" s="16" t="s">
        <v>53</v>
      </c>
      <c r="B1010" s="13" t="s">
        <v>54</v>
      </c>
      <c r="C1010" s="12">
        <v>45454</v>
      </c>
      <c r="D1010" s="8">
        <v>26.861000000000001</v>
      </c>
      <c r="E1010" s="8">
        <v>111.68</v>
      </c>
      <c r="F1010" s="13"/>
      <c r="G1010" s="13" t="s">
        <v>38</v>
      </c>
      <c r="H1010" s="13" t="s">
        <v>40</v>
      </c>
      <c r="I1010" s="13" t="s">
        <v>55</v>
      </c>
      <c r="J1010" s="17">
        <f t="shared" si="15"/>
        <v>2999.8364800000004</v>
      </c>
      <c r="K1010" s="15" t="s">
        <v>16</v>
      </c>
      <c r="L1010" s="13"/>
      <c r="M1010" s="13"/>
      <c r="N1010" s="14"/>
    </row>
    <row r="1011" spans="1:14" x14ac:dyDescent="0.35">
      <c r="A1011" s="16" t="s">
        <v>27</v>
      </c>
      <c r="B1011" s="13" t="s">
        <v>56</v>
      </c>
      <c r="C1011" s="12">
        <v>45454</v>
      </c>
      <c r="D1011" s="8">
        <v>55.368000000000002</v>
      </c>
      <c r="E1011" s="8">
        <v>18.059999999999999</v>
      </c>
      <c r="F1011" s="13"/>
      <c r="G1011" s="13" t="s">
        <v>13</v>
      </c>
      <c r="H1011" s="13" t="s">
        <v>40</v>
      </c>
      <c r="I1011" s="13" t="s">
        <v>57</v>
      </c>
      <c r="J1011" s="17">
        <f t="shared" si="15"/>
        <v>999.94607999999994</v>
      </c>
      <c r="K1011" s="15" t="s">
        <v>16</v>
      </c>
      <c r="L1011" s="13"/>
      <c r="M1011" s="13"/>
      <c r="N1011" s="14"/>
    </row>
    <row r="1012" spans="1:14" x14ac:dyDescent="0.35">
      <c r="A1012" s="16">
        <v>79931510915</v>
      </c>
      <c r="B1012" s="13" t="s">
        <v>39</v>
      </c>
      <c r="C1012" s="12">
        <v>45454</v>
      </c>
      <c r="D1012" s="8">
        <v>12.635999999999999</v>
      </c>
      <c r="E1012" s="8">
        <v>158.268</v>
      </c>
      <c r="F1012" s="13"/>
      <c r="G1012" s="13" t="s">
        <v>38</v>
      </c>
      <c r="H1012" s="13" t="s">
        <v>40</v>
      </c>
      <c r="I1012" s="13" t="s">
        <v>41</v>
      </c>
      <c r="J1012" s="17">
        <f t="shared" si="15"/>
        <v>1999.8744479999998</v>
      </c>
      <c r="K1012" s="15" t="s">
        <v>16</v>
      </c>
      <c r="L1012" s="13"/>
      <c r="M1012" s="13"/>
      <c r="N1012" s="14"/>
    </row>
    <row r="1013" spans="1:14" x14ac:dyDescent="0.35">
      <c r="A1013" s="16" t="s">
        <v>53</v>
      </c>
      <c r="B1013" s="13" t="s">
        <v>54</v>
      </c>
      <c r="C1013" s="12">
        <v>45456</v>
      </c>
      <c r="D1013" s="8">
        <v>29.457000000000001</v>
      </c>
      <c r="E1013" s="8">
        <v>101.84</v>
      </c>
      <c r="F1013" s="13"/>
      <c r="G1013" s="13" t="s">
        <v>38</v>
      </c>
      <c r="H1013" s="13" t="s">
        <v>40</v>
      </c>
      <c r="I1013" s="13" t="s">
        <v>55</v>
      </c>
      <c r="J1013" s="17">
        <f t="shared" si="15"/>
        <v>2999.9008800000001</v>
      </c>
      <c r="K1013" s="15" t="s">
        <v>16</v>
      </c>
      <c r="L1013" s="13"/>
      <c r="M1013" s="13"/>
      <c r="N1013" s="14"/>
    </row>
    <row r="1014" spans="1:14" x14ac:dyDescent="0.35">
      <c r="A1014" s="16" t="s">
        <v>27</v>
      </c>
      <c r="B1014" s="13" t="s">
        <v>56</v>
      </c>
      <c r="C1014" s="12">
        <v>45456</v>
      </c>
      <c r="D1014" s="8">
        <v>59.238999999999997</v>
      </c>
      <c r="E1014" s="8">
        <v>16.88</v>
      </c>
      <c r="F1014" s="13"/>
      <c r="G1014" s="13" t="s">
        <v>13</v>
      </c>
      <c r="H1014" s="13" t="s">
        <v>40</v>
      </c>
      <c r="I1014" s="13" t="s">
        <v>57</v>
      </c>
      <c r="J1014" s="17">
        <f t="shared" si="15"/>
        <v>999.95431999999994</v>
      </c>
      <c r="K1014" s="15" t="s">
        <v>16</v>
      </c>
      <c r="L1014" s="13"/>
      <c r="M1014" s="13"/>
      <c r="N1014" s="14"/>
    </row>
    <row r="1015" spans="1:14" x14ac:dyDescent="0.35">
      <c r="A1015" s="16">
        <v>79931510915</v>
      </c>
      <c r="B1015" s="13" t="s">
        <v>39</v>
      </c>
      <c r="C1015" s="12">
        <v>45456</v>
      </c>
      <c r="D1015" s="8">
        <v>13.505000000000001</v>
      </c>
      <c r="E1015" s="8">
        <v>148.08699999999999</v>
      </c>
      <c r="F1015" s="13"/>
      <c r="G1015" s="13" t="s">
        <v>38</v>
      </c>
      <c r="H1015" s="13" t="s">
        <v>40</v>
      </c>
      <c r="I1015" s="13" t="s">
        <v>41</v>
      </c>
      <c r="J1015" s="17">
        <f t="shared" si="15"/>
        <v>1999.914935</v>
      </c>
      <c r="K1015" s="15" t="s">
        <v>16</v>
      </c>
      <c r="L1015" s="13"/>
      <c r="M1015" s="13"/>
      <c r="N1015" s="14"/>
    </row>
    <row r="1016" spans="1:14" x14ac:dyDescent="0.35">
      <c r="A1016" s="16" t="s">
        <v>49</v>
      </c>
      <c r="B1016" s="13" t="s">
        <v>39</v>
      </c>
      <c r="C1016" s="12">
        <v>45461</v>
      </c>
      <c r="D1016" s="8">
        <v>15.598000000000001</v>
      </c>
      <c r="E1016" s="8">
        <v>160.26499999999999</v>
      </c>
      <c r="F1016" s="13"/>
      <c r="G1016" s="13" t="s">
        <v>31</v>
      </c>
      <c r="H1016" s="13" t="s">
        <v>40</v>
      </c>
      <c r="I1016" s="13" t="s">
        <v>41</v>
      </c>
      <c r="J1016" s="17">
        <f t="shared" si="15"/>
        <v>2499.8134700000001</v>
      </c>
      <c r="K1016" s="15" t="s">
        <v>32</v>
      </c>
      <c r="L1016" s="13"/>
      <c r="M1016" s="13"/>
      <c r="N1016" s="14"/>
    </row>
    <row r="1017" spans="1:14" x14ac:dyDescent="0.35">
      <c r="A1017" s="16" t="s">
        <v>74</v>
      </c>
      <c r="B1017" s="13" t="s">
        <v>42</v>
      </c>
      <c r="C1017" s="12">
        <v>45462</v>
      </c>
      <c r="D1017" s="8">
        <v>15.161</v>
      </c>
      <c r="E1017" s="8">
        <v>197.86449999999999</v>
      </c>
      <c r="F1017" s="13"/>
      <c r="G1017" s="13" t="s">
        <v>31</v>
      </c>
      <c r="H1017" s="13" t="s">
        <v>40</v>
      </c>
      <c r="I1017" s="13" t="s">
        <v>43</v>
      </c>
      <c r="J1017" s="17">
        <f t="shared" si="15"/>
        <v>2999.8236844999997</v>
      </c>
      <c r="K1017" s="15" t="s">
        <v>32</v>
      </c>
      <c r="L1017" s="13"/>
      <c r="M1017" s="13"/>
      <c r="N1017" s="14"/>
    </row>
    <row r="1018" spans="1:14" x14ac:dyDescent="0.35">
      <c r="A1018" s="16">
        <v>79931510915</v>
      </c>
      <c r="B1018" s="13" t="s">
        <v>39</v>
      </c>
      <c r="C1018" s="12">
        <v>45465</v>
      </c>
      <c r="D1018" s="8">
        <v>19.550999999999998</v>
      </c>
      <c r="E1018" s="8">
        <v>153.441</v>
      </c>
      <c r="F1018" s="13"/>
      <c r="G1018" s="13" t="s">
        <v>38</v>
      </c>
      <c r="H1018" s="13" t="s">
        <v>40</v>
      </c>
      <c r="I1018" s="13" t="s">
        <v>41</v>
      </c>
      <c r="J1018" s="17">
        <f t="shared" si="15"/>
        <v>2999.9249909999999</v>
      </c>
      <c r="K1018" s="15" t="s">
        <v>16</v>
      </c>
      <c r="L1018" s="13"/>
      <c r="M1018" s="13"/>
      <c r="N1018" s="14"/>
    </row>
    <row r="1019" spans="1:14" x14ac:dyDescent="0.35">
      <c r="A1019" s="16">
        <v>79931510915</v>
      </c>
      <c r="B1019" s="13" t="s">
        <v>39</v>
      </c>
      <c r="C1019" s="12">
        <v>45467</v>
      </c>
      <c r="D1019" s="8">
        <v>18.655000000000001</v>
      </c>
      <c r="E1019" s="8">
        <v>160.80600000000001</v>
      </c>
      <c r="F1019" s="13"/>
      <c r="G1019" s="13" t="s">
        <v>38</v>
      </c>
      <c r="H1019" s="13" t="s">
        <v>40</v>
      </c>
      <c r="I1019" s="13" t="s">
        <v>41</v>
      </c>
      <c r="J1019" s="17">
        <f t="shared" si="15"/>
        <v>2999.8359300000002</v>
      </c>
      <c r="K1019" s="15" t="s">
        <v>16</v>
      </c>
      <c r="L1019" s="13"/>
      <c r="M1019" s="13"/>
      <c r="N1019" s="14"/>
    </row>
    <row r="1020" spans="1:14" x14ac:dyDescent="0.35">
      <c r="A1020" s="16" t="s">
        <v>65</v>
      </c>
      <c r="B1020" s="13" t="s">
        <v>54</v>
      </c>
      <c r="C1020" s="12">
        <v>45468</v>
      </c>
      <c r="D1020" s="8">
        <v>113.4</v>
      </c>
      <c r="E1020" s="8">
        <v>44.09</v>
      </c>
      <c r="F1020" s="13"/>
      <c r="G1020" s="13" t="s">
        <v>38</v>
      </c>
      <c r="H1020" s="13" t="s">
        <v>66</v>
      </c>
      <c r="I1020" s="13" t="s">
        <v>55</v>
      </c>
      <c r="J1020" s="17">
        <f t="shared" si="15"/>
        <v>4999.8060000000005</v>
      </c>
      <c r="K1020" s="15" t="s">
        <v>16</v>
      </c>
      <c r="L1020" s="13"/>
      <c r="M1020" s="13"/>
      <c r="N1020" s="14"/>
    </row>
    <row r="1021" spans="1:14" x14ac:dyDescent="0.35">
      <c r="A1021" s="16" t="s">
        <v>65</v>
      </c>
      <c r="B1021" s="13" t="s">
        <v>54</v>
      </c>
      <c r="C1021" s="12">
        <v>45468</v>
      </c>
      <c r="D1021" s="8">
        <v>117.51</v>
      </c>
      <c r="E1021" s="8">
        <v>42.546999999999997</v>
      </c>
      <c r="F1021" s="13"/>
      <c r="G1021" s="13" t="s">
        <v>38</v>
      </c>
      <c r="H1021" s="13" t="s">
        <v>66</v>
      </c>
      <c r="I1021" s="13" t="s">
        <v>55</v>
      </c>
      <c r="J1021" s="17">
        <f t="shared" si="15"/>
        <v>4999.6979700000002</v>
      </c>
      <c r="K1021" s="15" t="s">
        <v>16</v>
      </c>
      <c r="L1021" s="13"/>
      <c r="M1021" s="13"/>
      <c r="N1021" s="14"/>
    </row>
    <row r="1022" spans="1:14" x14ac:dyDescent="0.35">
      <c r="A1022" s="16" t="s">
        <v>67</v>
      </c>
      <c r="B1022" s="13" t="s">
        <v>54</v>
      </c>
      <c r="C1022" s="12">
        <v>45468</v>
      </c>
      <c r="D1022" s="8">
        <v>44.09</v>
      </c>
      <c r="E1022" s="8">
        <v>113.4</v>
      </c>
      <c r="F1022" s="13"/>
      <c r="G1022" s="13" t="s">
        <v>38</v>
      </c>
      <c r="H1022" s="13" t="s">
        <v>68</v>
      </c>
      <c r="I1022" s="13" t="s">
        <v>55</v>
      </c>
      <c r="J1022" s="17">
        <f t="shared" si="15"/>
        <v>4999.8060000000005</v>
      </c>
      <c r="K1022" s="15" t="s">
        <v>16</v>
      </c>
      <c r="L1022" s="13"/>
      <c r="M1022" s="13"/>
      <c r="N1022" s="14"/>
    </row>
    <row r="1023" spans="1:14" x14ac:dyDescent="0.35">
      <c r="A1023" s="16" t="s">
        <v>67</v>
      </c>
      <c r="B1023" s="13" t="s">
        <v>54</v>
      </c>
      <c r="C1023" s="12">
        <v>45468</v>
      </c>
      <c r="D1023" s="8">
        <v>42.546999999999997</v>
      </c>
      <c r="E1023" s="8">
        <v>117.51</v>
      </c>
      <c r="F1023" s="13"/>
      <c r="G1023" s="13" t="s">
        <v>38</v>
      </c>
      <c r="H1023" s="13" t="s">
        <v>68</v>
      </c>
      <c r="I1023" s="13" t="s">
        <v>55</v>
      </c>
      <c r="J1023" s="17">
        <f t="shared" si="15"/>
        <v>4999.6979700000002</v>
      </c>
      <c r="K1023" s="15" t="s">
        <v>16</v>
      </c>
      <c r="L1023" s="13"/>
      <c r="M1023" s="13"/>
      <c r="N1023" s="14"/>
    </row>
    <row r="1024" spans="1:14" x14ac:dyDescent="0.35">
      <c r="A1024" s="16">
        <v>79944037504</v>
      </c>
      <c r="B1024" s="13" t="s">
        <v>39</v>
      </c>
      <c r="C1024" s="12">
        <v>45468</v>
      </c>
      <c r="D1024" s="8">
        <v>31.111000000000001</v>
      </c>
      <c r="E1024" s="8">
        <v>160.869</v>
      </c>
      <c r="F1024" s="13"/>
      <c r="G1024" s="13" t="s">
        <v>38</v>
      </c>
      <c r="H1024" s="13" t="s">
        <v>40</v>
      </c>
      <c r="I1024" s="13" t="s">
        <v>41</v>
      </c>
      <c r="J1024" s="17">
        <f t="shared" si="15"/>
        <v>5004.7954589999999</v>
      </c>
      <c r="K1024" s="15" t="s">
        <v>16</v>
      </c>
      <c r="L1024" s="13"/>
      <c r="M1024" s="13"/>
      <c r="N1024" s="14"/>
    </row>
    <row r="1025" spans="1:14" x14ac:dyDescent="0.35">
      <c r="A1025" s="16">
        <v>79944037504</v>
      </c>
      <c r="B1025" s="13" t="s">
        <v>39</v>
      </c>
      <c r="C1025" s="12">
        <v>45468</v>
      </c>
      <c r="D1025" s="8">
        <v>29.721</v>
      </c>
      <c r="E1025" s="8">
        <v>168.38900000000001</v>
      </c>
      <c r="F1025" s="13"/>
      <c r="G1025" s="13" t="s">
        <v>38</v>
      </c>
      <c r="H1025" s="13" t="s">
        <v>40</v>
      </c>
      <c r="I1025" s="13" t="s">
        <v>41</v>
      </c>
      <c r="J1025" s="17">
        <f t="shared" si="15"/>
        <v>5004.6894689999999</v>
      </c>
      <c r="K1025" s="15" t="s">
        <v>16</v>
      </c>
      <c r="L1025" s="13"/>
      <c r="M1025" s="13"/>
      <c r="N1025" s="14"/>
    </row>
    <row r="1026" spans="1:14" x14ac:dyDescent="0.35">
      <c r="A1026" s="16" t="s">
        <v>65</v>
      </c>
      <c r="B1026" s="13" t="s">
        <v>54</v>
      </c>
      <c r="C1026" s="12">
        <v>45470</v>
      </c>
      <c r="D1026" s="8">
        <v>105.35</v>
      </c>
      <c r="E1026" s="8">
        <v>47.457999999999998</v>
      </c>
      <c r="F1026" s="13"/>
      <c r="G1026" s="13" t="s">
        <v>38</v>
      </c>
      <c r="H1026" s="13" t="s">
        <v>66</v>
      </c>
      <c r="I1026" s="13" t="s">
        <v>55</v>
      </c>
      <c r="J1026" s="17">
        <f t="shared" ref="J1026:J1089" si="16">D1026*E1026</f>
        <v>4999.7002999999995</v>
      </c>
      <c r="K1026" s="15" t="s">
        <v>16</v>
      </c>
      <c r="L1026" s="13"/>
      <c r="M1026" s="13"/>
      <c r="N1026" s="14"/>
    </row>
    <row r="1027" spans="1:14" x14ac:dyDescent="0.35">
      <c r="A1027" s="16" t="s">
        <v>67</v>
      </c>
      <c r="B1027" s="13" t="s">
        <v>54</v>
      </c>
      <c r="C1027" s="12">
        <v>45470</v>
      </c>
      <c r="D1027" s="8">
        <v>47.457999999999998</v>
      </c>
      <c r="E1027" s="8">
        <v>105.35</v>
      </c>
      <c r="F1027" s="13"/>
      <c r="G1027" s="13" t="s">
        <v>38</v>
      </c>
      <c r="H1027" s="13" t="s">
        <v>68</v>
      </c>
      <c r="I1027" s="13" t="s">
        <v>55</v>
      </c>
      <c r="J1027" s="17">
        <f t="shared" si="16"/>
        <v>4999.7002999999995</v>
      </c>
      <c r="K1027" s="15" t="s">
        <v>16</v>
      </c>
      <c r="L1027" s="13"/>
      <c r="M1027" s="13"/>
      <c r="N1027" s="14"/>
    </row>
    <row r="1028" spans="1:14" x14ac:dyDescent="0.35">
      <c r="A1028" s="16">
        <v>79944037504</v>
      </c>
      <c r="B1028" s="13" t="s">
        <v>39</v>
      </c>
      <c r="C1028" s="12">
        <v>45470</v>
      </c>
      <c r="D1028" s="8">
        <v>32.747</v>
      </c>
      <c r="E1028" s="8">
        <v>152.82900000000001</v>
      </c>
      <c r="F1028" s="13"/>
      <c r="G1028" s="13" t="s">
        <v>38</v>
      </c>
      <c r="H1028" s="13" t="s">
        <v>40</v>
      </c>
      <c r="I1028" s="13" t="s">
        <v>41</v>
      </c>
      <c r="J1028" s="17">
        <f t="shared" si="16"/>
        <v>5004.6912630000006</v>
      </c>
      <c r="K1028" s="15" t="s">
        <v>16</v>
      </c>
      <c r="L1028" s="13"/>
      <c r="M1028" s="13"/>
      <c r="N1028" s="14"/>
    </row>
    <row r="1029" spans="1:14" x14ac:dyDescent="0.35">
      <c r="A1029" s="16" t="s">
        <v>48</v>
      </c>
      <c r="B1029" s="13" t="s">
        <v>39</v>
      </c>
      <c r="C1029" s="12">
        <v>45474</v>
      </c>
      <c r="D1029" s="8">
        <v>15.362</v>
      </c>
      <c r="E1029" s="8">
        <v>162.73099999999999</v>
      </c>
      <c r="F1029" s="13"/>
      <c r="G1029" s="13" t="s">
        <v>38</v>
      </c>
      <c r="H1029" s="13" t="s">
        <v>40</v>
      </c>
      <c r="I1029" s="13" t="s">
        <v>41</v>
      </c>
      <c r="J1029" s="17">
        <f t="shared" si="16"/>
        <v>2499.8736220000001</v>
      </c>
      <c r="K1029" s="15" t="s">
        <v>16</v>
      </c>
      <c r="L1029" s="13"/>
      <c r="M1029" s="13"/>
      <c r="N1029" s="14"/>
    </row>
    <row r="1030" spans="1:14" x14ac:dyDescent="0.35">
      <c r="A1030" s="16" t="s">
        <v>48</v>
      </c>
      <c r="B1030" s="13" t="s">
        <v>39</v>
      </c>
      <c r="C1030" s="12">
        <v>45478</v>
      </c>
      <c r="D1030" s="8">
        <v>15.215</v>
      </c>
      <c r="E1030" s="8">
        <v>164.636</v>
      </c>
      <c r="F1030" s="13"/>
      <c r="G1030" s="13" t="s">
        <v>38</v>
      </c>
      <c r="H1030" s="13" t="s">
        <v>40</v>
      </c>
      <c r="I1030" s="13" t="s">
        <v>41</v>
      </c>
      <c r="J1030" s="17">
        <f t="shared" si="16"/>
        <v>2504.9367400000001</v>
      </c>
      <c r="K1030" s="15" t="s">
        <v>16</v>
      </c>
      <c r="L1030" s="13"/>
      <c r="M1030" s="13"/>
      <c r="N1030" s="14"/>
    </row>
    <row r="1031" spans="1:14" x14ac:dyDescent="0.35">
      <c r="A1031" s="16" t="s">
        <v>48</v>
      </c>
      <c r="B1031" s="13" t="s">
        <v>39</v>
      </c>
      <c r="C1031" s="12">
        <v>45481</v>
      </c>
      <c r="D1031" s="8">
        <v>60.478000000000002</v>
      </c>
      <c r="E1031" s="8">
        <v>165.34100000000001</v>
      </c>
      <c r="F1031" s="13"/>
      <c r="G1031" s="13" t="s">
        <v>38</v>
      </c>
      <c r="H1031" s="13" t="s">
        <v>40</v>
      </c>
      <c r="I1031" s="13" t="s">
        <v>41</v>
      </c>
      <c r="J1031" s="17">
        <f t="shared" si="16"/>
        <v>9999.4929980000015</v>
      </c>
      <c r="K1031" s="15" t="s">
        <v>16</v>
      </c>
      <c r="L1031" s="13"/>
      <c r="M1031" s="13"/>
      <c r="N1031" s="14"/>
    </row>
    <row r="1032" spans="1:14" x14ac:dyDescent="0.35">
      <c r="A1032" s="16" t="s">
        <v>53</v>
      </c>
      <c r="B1032" s="13" t="s">
        <v>54</v>
      </c>
      <c r="C1032" s="12">
        <v>45484</v>
      </c>
      <c r="D1032" s="8">
        <v>25.69</v>
      </c>
      <c r="E1032" s="8">
        <v>116.77</v>
      </c>
      <c r="F1032" s="13"/>
      <c r="G1032" s="13" t="s">
        <v>38</v>
      </c>
      <c r="H1032" s="13" t="s">
        <v>40</v>
      </c>
      <c r="I1032" s="13" t="s">
        <v>55</v>
      </c>
      <c r="J1032" s="17">
        <f t="shared" si="16"/>
        <v>2999.8213000000001</v>
      </c>
      <c r="K1032" s="15" t="s">
        <v>16</v>
      </c>
      <c r="L1032" s="13"/>
      <c r="M1032" s="13"/>
      <c r="N1032" s="14"/>
    </row>
    <row r="1033" spans="1:14" x14ac:dyDescent="0.35">
      <c r="A1033" s="16" t="s">
        <v>27</v>
      </c>
      <c r="B1033" s="13" t="s">
        <v>56</v>
      </c>
      <c r="C1033" s="12">
        <v>45484</v>
      </c>
      <c r="D1033" s="8">
        <v>52.326000000000001</v>
      </c>
      <c r="E1033" s="8">
        <v>19.11</v>
      </c>
      <c r="F1033" s="13"/>
      <c r="G1033" s="13" t="s">
        <v>13</v>
      </c>
      <c r="H1033" s="13" t="s">
        <v>40</v>
      </c>
      <c r="I1033" s="13" t="s">
        <v>57</v>
      </c>
      <c r="J1033" s="17">
        <f t="shared" si="16"/>
        <v>999.94985999999994</v>
      </c>
      <c r="K1033" s="15" t="s">
        <v>16</v>
      </c>
      <c r="L1033" s="13"/>
      <c r="M1033" s="13"/>
      <c r="N1033" s="14"/>
    </row>
    <row r="1034" spans="1:14" x14ac:dyDescent="0.35">
      <c r="A1034" s="16">
        <v>79931510915</v>
      </c>
      <c r="B1034" s="13" t="s">
        <v>39</v>
      </c>
      <c r="C1034" s="12">
        <v>45484</v>
      </c>
      <c r="D1034" s="8">
        <v>12.06</v>
      </c>
      <c r="E1034" s="8">
        <v>165.82900000000001</v>
      </c>
      <c r="F1034" s="13"/>
      <c r="G1034" s="13" t="s">
        <v>38</v>
      </c>
      <c r="H1034" s="13" t="s">
        <v>40</v>
      </c>
      <c r="I1034" s="13" t="s">
        <v>41</v>
      </c>
      <c r="J1034" s="17">
        <f t="shared" si="16"/>
        <v>1999.8977400000001</v>
      </c>
      <c r="K1034" s="15" t="s">
        <v>16</v>
      </c>
      <c r="L1034" s="13"/>
      <c r="M1034" s="13"/>
      <c r="N1034" s="14"/>
    </row>
    <row r="1035" spans="1:14" x14ac:dyDescent="0.35">
      <c r="A1035" s="16" t="s">
        <v>49</v>
      </c>
      <c r="B1035" s="13" t="s">
        <v>39</v>
      </c>
      <c r="C1035" s="12">
        <v>45491</v>
      </c>
      <c r="D1035" s="8">
        <v>15.199</v>
      </c>
      <c r="E1035" s="8">
        <v>164.47499999999999</v>
      </c>
      <c r="F1035" s="13"/>
      <c r="G1035" s="13" t="s">
        <v>31</v>
      </c>
      <c r="H1035" s="13" t="s">
        <v>40</v>
      </c>
      <c r="I1035" s="13" t="s">
        <v>41</v>
      </c>
      <c r="J1035" s="17">
        <f t="shared" si="16"/>
        <v>2499.8555249999999</v>
      </c>
      <c r="K1035" s="15" t="s">
        <v>32</v>
      </c>
      <c r="L1035" s="13"/>
      <c r="M1035" s="13"/>
      <c r="N1035" s="14"/>
    </row>
    <row r="1036" spans="1:14" x14ac:dyDescent="0.35">
      <c r="A1036" s="16" t="s">
        <v>74</v>
      </c>
      <c r="B1036" s="13" t="s">
        <v>42</v>
      </c>
      <c r="C1036" s="12">
        <v>45492</v>
      </c>
      <c r="D1036" s="8">
        <v>14.944000000000001</v>
      </c>
      <c r="E1036" s="8">
        <v>200.7347</v>
      </c>
      <c r="F1036" s="13"/>
      <c r="G1036" s="13" t="s">
        <v>31</v>
      </c>
      <c r="H1036" s="13" t="s">
        <v>40</v>
      </c>
      <c r="I1036" s="13" t="s">
        <v>43</v>
      </c>
      <c r="J1036" s="17">
        <f t="shared" si="16"/>
        <v>2999.7793568000002</v>
      </c>
      <c r="K1036" s="15" t="s">
        <v>32</v>
      </c>
      <c r="L1036" s="13"/>
      <c r="M1036" s="13"/>
      <c r="N1036" s="14"/>
    </row>
    <row r="1037" spans="1:14" x14ac:dyDescent="0.35">
      <c r="A1037" s="16">
        <v>79931510915</v>
      </c>
      <c r="B1037" s="13" t="s">
        <v>39</v>
      </c>
      <c r="C1037" s="12">
        <v>45495</v>
      </c>
      <c r="D1037" s="8">
        <v>18.123000000000001</v>
      </c>
      <c r="E1037" s="8">
        <v>165.52500000000001</v>
      </c>
      <c r="F1037" s="13"/>
      <c r="G1037" s="13" t="s">
        <v>38</v>
      </c>
      <c r="H1037" s="13" t="s">
        <v>40</v>
      </c>
      <c r="I1037" s="13" t="s">
        <v>41</v>
      </c>
      <c r="J1037" s="17">
        <f t="shared" si="16"/>
        <v>2999.8095750000002</v>
      </c>
      <c r="K1037" s="15" t="s">
        <v>16</v>
      </c>
      <c r="L1037" s="13"/>
      <c r="M1037" s="13"/>
      <c r="N1037" s="14"/>
    </row>
    <row r="1038" spans="1:14" x14ac:dyDescent="0.35">
      <c r="A1038" s="16" t="s">
        <v>48</v>
      </c>
      <c r="B1038" s="13" t="s">
        <v>39</v>
      </c>
      <c r="C1038" s="12">
        <v>45505</v>
      </c>
      <c r="D1038" s="8">
        <v>14.843</v>
      </c>
      <c r="E1038" s="8">
        <v>168.42500000000001</v>
      </c>
      <c r="F1038" s="13"/>
      <c r="G1038" s="13" t="s">
        <v>38</v>
      </c>
      <c r="H1038" s="13" t="s">
        <v>40</v>
      </c>
      <c r="I1038" s="13" t="s">
        <v>41</v>
      </c>
      <c r="J1038" s="17">
        <f t="shared" si="16"/>
        <v>2499.9322750000001</v>
      </c>
      <c r="K1038" s="15" t="s">
        <v>16</v>
      </c>
      <c r="L1038" s="13"/>
      <c r="M1038" s="13"/>
      <c r="N1038" s="14"/>
    </row>
    <row r="1039" spans="1:14" x14ac:dyDescent="0.35">
      <c r="A1039" s="16" t="s">
        <v>48</v>
      </c>
      <c r="B1039" s="13" t="s">
        <v>39</v>
      </c>
      <c r="C1039" s="12">
        <v>45509</v>
      </c>
      <c r="D1039" s="8">
        <v>15.425000000000001</v>
      </c>
      <c r="E1039" s="8">
        <v>162.386</v>
      </c>
      <c r="F1039" s="13"/>
      <c r="G1039" s="13" t="s">
        <v>38</v>
      </c>
      <c r="H1039" s="13" t="s">
        <v>40</v>
      </c>
      <c r="I1039" s="13" t="s">
        <v>41</v>
      </c>
      <c r="J1039" s="17">
        <f t="shared" si="16"/>
        <v>2504.8040500000002</v>
      </c>
      <c r="K1039" s="15" t="s">
        <v>16</v>
      </c>
      <c r="L1039" s="13"/>
      <c r="M1039" s="13"/>
      <c r="N1039" s="14"/>
    </row>
    <row r="1040" spans="1:14" x14ac:dyDescent="0.35">
      <c r="A1040" s="16" t="s">
        <v>48</v>
      </c>
      <c r="B1040" s="13" t="s">
        <v>39</v>
      </c>
      <c r="C1040" s="12">
        <v>45511</v>
      </c>
      <c r="D1040" s="8">
        <v>60.905000000000001</v>
      </c>
      <c r="E1040" s="8">
        <v>164.18100000000001</v>
      </c>
      <c r="F1040" s="13"/>
      <c r="G1040" s="13" t="s">
        <v>38</v>
      </c>
      <c r="H1040" s="13" t="s">
        <v>40</v>
      </c>
      <c r="I1040" s="13" t="s">
        <v>41</v>
      </c>
      <c r="J1040" s="17">
        <f t="shared" si="16"/>
        <v>9999.4438050000008</v>
      </c>
      <c r="K1040" s="15" t="s">
        <v>16</v>
      </c>
      <c r="L1040" s="13"/>
      <c r="M1040" s="13"/>
      <c r="N1040" s="14"/>
    </row>
    <row r="1041" spans="1:14" x14ac:dyDescent="0.35">
      <c r="A1041" s="16" t="s">
        <v>60</v>
      </c>
      <c r="B1041" s="13" t="s">
        <v>61</v>
      </c>
      <c r="C1041" s="12">
        <v>45513</v>
      </c>
      <c r="D1041" s="8">
        <v>189.708</v>
      </c>
      <c r="E1041" s="8">
        <v>52.71</v>
      </c>
      <c r="F1041" s="13"/>
      <c r="G1041" s="13" t="s">
        <v>13</v>
      </c>
      <c r="H1041" s="13" t="s">
        <v>62</v>
      </c>
      <c r="I1041" s="13" t="s">
        <v>63</v>
      </c>
      <c r="J1041" s="17">
        <f t="shared" si="16"/>
        <v>9999.5086800000008</v>
      </c>
      <c r="K1041" s="15" t="s">
        <v>16</v>
      </c>
      <c r="L1041" s="13"/>
      <c r="M1041" s="13"/>
      <c r="N1041" s="14"/>
    </row>
    <row r="1042" spans="1:14" x14ac:dyDescent="0.35">
      <c r="A1042" s="16" t="s">
        <v>27</v>
      </c>
      <c r="B1042" s="13" t="s">
        <v>56</v>
      </c>
      <c r="C1042" s="12">
        <v>45515</v>
      </c>
      <c r="D1042" s="8">
        <v>53.302</v>
      </c>
      <c r="E1042" s="8">
        <v>18.760000000000002</v>
      </c>
      <c r="F1042" s="13"/>
      <c r="G1042" s="13" t="s">
        <v>13</v>
      </c>
      <c r="H1042" s="13" t="s">
        <v>40</v>
      </c>
      <c r="I1042" s="13" t="s">
        <v>57</v>
      </c>
      <c r="J1042" s="17">
        <f t="shared" si="16"/>
        <v>999.9455200000001</v>
      </c>
      <c r="K1042" s="15" t="s">
        <v>16</v>
      </c>
      <c r="L1042" s="13"/>
      <c r="M1042" s="13"/>
      <c r="N1042" s="14"/>
    </row>
    <row r="1043" spans="1:14" x14ac:dyDescent="0.35">
      <c r="A1043" s="16">
        <v>79931510915</v>
      </c>
      <c r="B1043" s="13" t="s">
        <v>39</v>
      </c>
      <c r="C1043" s="12">
        <v>45515</v>
      </c>
      <c r="D1043" s="8">
        <v>12.215999999999999</v>
      </c>
      <c r="E1043" s="8">
        <v>163.71799999999999</v>
      </c>
      <c r="F1043" s="13"/>
      <c r="G1043" s="13" t="s">
        <v>38</v>
      </c>
      <c r="H1043" s="13" t="s">
        <v>40</v>
      </c>
      <c r="I1043" s="13" t="s">
        <v>41</v>
      </c>
      <c r="J1043" s="17">
        <f t="shared" si="16"/>
        <v>1999.9790879999998</v>
      </c>
      <c r="K1043" s="15" t="s">
        <v>16</v>
      </c>
      <c r="L1043" s="13"/>
      <c r="M1043" s="13"/>
      <c r="N1043" s="14"/>
    </row>
    <row r="1044" spans="1:14" x14ac:dyDescent="0.35">
      <c r="A1044" s="16" t="s">
        <v>53</v>
      </c>
      <c r="B1044" s="13" t="s">
        <v>54</v>
      </c>
      <c r="C1044" s="12">
        <v>45516</v>
      </c>
      <c r="D1044" s="8">
        <v>26.038</v>
      </c>
      <c r="E1044" s="8">
        <v>115.21</v>
      </c>
      <c r="F1044" s="13"/>
      <c r="G1044" s="13" t="s">
        <v>38</v>
      </c>
      <c r="H1044" s="13" t="s">
        <v>40</v>
      </c>
      <c r="I1044" s="13" t="s">
        <v>55</v>
      </c>
      <c r="J1044" s="17">
        <f t="shared" si="16"/>
        <v>2999.8379799999998</v>
      </c>
      <c r="K1044" s="15" t="s">
        <v>16</v>
      </c>
      <c r="L1044" s="13"/>
      <c r="M1044" s="13"/>
      <c r="N1044" s="14"/>
    </row>
    <row r="1045" spans="1:14" x14ac:dyDescent="0.35">
      <c r="A1045" s="16" t="s">
        <v>74</v>
      </c>
      <c r="B1045" s="13" t="s">
        <v>42</v>
      </c>
      <c r="C1045" s="12">
        <v>45523</v>
      </c>
      <c r="D1045" s="8">
        <v>14.698</v>
      </c>
      <c r="E1045" s="8">
        <v>204.10159999999999</v>
      </c>
      <c r="F1045" s="13"/>
      <c r="G1045" s="13" t="s">
        <v>31</v>
      </c>
      <c r="H1045" s="13" t="s">
        <v>40</v>
      </c>
      <c r="I1045" s="13" t="s">
        <v>43</v>
      </c>
      <c r="J1045" s="17">
        <f t="shared" si="16"/>
        <v>2999.8853168000001</v>
      </c>
      <c r="K1045" s="15" t="s">
        <v>32</v>
      </c>
      <c r="L1045" s="13"/>
      <c r="M1045" s="13"/>
      <c r="N1045" s="14"/>
    </row>
    <row r="1046" spans="1:14" x14ac:dyDescent="0.35">
      <c r="A1046" s="16" t="s">
        <v>49</v>
      </c>
      <c r="B1046" s="13" t="s">
        <v>39</v>
      </c>
      <c r="C1046" s="12">
        <v>45523</v>
      </c>
      <c r="D1046" s="8">
        <v>14.936999999999999</v>
      </c>
      <c r="E1046" s="8">
        <v>167.363</v>
      </c>
      <c r="F1046" s="13"/>
      <c r="G1046" s="13" t="s">
        <v>31</v>
      </c>
      <c r="H1046" s="13" t="s">
        <v>40</v>
      </c>
      <c r="I1046" s="13" t="s">
        <v>41</v>
      </c>
      <c r="J1046" s="17">
        <f t="shared" si="16"/>
        <v>2499.9011310000001</v>
      </c>
      <c r="K1046" s="15" t="s">
        <v>32</v>
      </c>
      <c r="L1046" s="13"/>
      <c r="M1046" s="13"/>
      <c r="N1046" s="14"/>
    </row>
    <row r="1047" spans="1:14" x14ac:dyDescent="0.35">
      <c r="A1047" s="16">
        <v>79931510915</v>
      </c>
      <c r="B1047" s="13" t="s">
        <v>39</v>
      </c>
      <c r="C1047" s="12">
        <v>45526</v>
      </c>
      <c r="D1047" s="8">
        <v>17.728999999999999</v>
      </c>
      <c r="E1047" s="8">
        <v>169.20699999999999</v>
      </c>
      <c r="F1047" s="13"/>
      <c r="G1047" s="13" t="s">
        <v>38</v>
      </c>
      <c r="H1047" s="13" t="s">
        <v>40</v>
      </c>
      <c r="I1047" s="13" t="s">
        <v>41</v>
      </c>
      <c r="J1047" s="17">
        <f t="shared" si="16"/>
        <v>2999.8709029999995</v>
      </c>
      <c r="K1047" s="15" t="s">
        <v>16</v>
      </c>
      <c r="L1047" s="13"/>
      <c r="M1047" s="13"/>
      <c r="N1047" s="14"/>
    </row>
    <row r="1048" spans="1:14" x14ac:dyDescent="0.35">
      <c r="A1048" s="16" t="s">
        <v>65</v>
      </c>
      <c r="B1048" s="13" t="s">
        <v>54</v>
      </c>
      <c r="C1048" s="12">
        <v>45530</v>
      </c>
      <c r="D1048" s="8">
        <v>121.04</v>
      </c>
      <c r="E1048" s="8">
        <v>41.307000000000002</v>
      </c>
      <c r="F1048" s="13"/>
      <c r="G1048" s="13" t="s">
        <v>38</v>
      </c>
      <c r="H1048" s="13" t="s">
        <v>66</v>
      </c>
      <c r="I1048" s="13" t="s">
        <v>55</v>
      </c>
      <c r="J1048" s="17">
        <f t="shared" si="16"/>
        <v>4999.7992800000002</v>
      </c>
      <c r="K1048" s="15" t="s">
        <v>16</v>
      </c>
      <c r="L1048" s="13"/>
      <c r="M1048" s="13"/>
      <c r="N1048" s="14"/>
    </row>
    <row r="1049" spans="1:14" x14ac:dyDescent="0.35">
      <c r="A1049" s="16" t="s">
        <v>67</v>
      </c>
      <c r="B1049" s="13" t="s">
        <v>54</v>
      </c>
      <c r="C1049" s="12">
        <v>45530</v>
      </c>
      <c r="D1049" s="8">
        <v>41.307000000000002</v>
      </c>
      <c r="E1049" s="8">
        <v>121.04</v>
      </c>
      <c r="F1049" s="13"/>
      <c r="G1049" s="13" t="s">
        <v>38</v>
      </c>
      <c r="H1049" s="13" t="s">
        <v>68</v>
      </c>
      <c r="I1049" s="13" t="s">
        <v>55</v>
      </c>
      <c r="J1049" s="17">
        <f t="shared" si="16"/>
        <v>4999.7992800000002</v>
      </c>
      <c r="K1049" s="15" t="s">
        <v>16</v>
      </c>
      <c r="L1049" s="13"/>
      <c r="M1049" s="13"/>
      <c r="N1049" s="14"/>
    </row>
    <row r="1050" spans="1:14" x14ac:dyDescent="0.35">
      <c r="A1050" s="16">
        <v>79944037504</v>
      </c>
      <c r="B1050" s="13" t="s">
        <v>39</v>
      </c>
      <c r="C1050" s="12">
        <v>45530</v>
      </c>
      <c r="D1050" s="8">
        <v>29.27</v>
      </c>
      <c r="E1050" s="8">
        <v>170.98699999999999</v>
      </c>
      <c r="F1050" s="13"/>
      <c r="G1050" s="13" t="s">
        <v>38</v>
      </c>
      <c r="H1050" s="13" t="s">
        <v>40</v>
      </c>
      <c r="I1050" s="13" t="s">
        <v>41</v>
      </c>
      <c r="J1050" s="17">
        <f t="shared" si="16"/>
        <v>5004.7894900000001</v>
      </c>
      <c r="K1050" s="15" t="s">
        <v>16</v>
      </c>
      <c r="L1050" s="13"/>
      <c r="M1050" s="13"/>
      <c r="N1050" s="14"/>
    </row>
    <row r="1051" spans="1:14" x14ac:dyDescent="0.35">
      <c r="A1051" s="16" t="s">
        <v>48</v>
      </c>
      <c r="B1051" s="13" t="s">
        <v>39</v>
      </c>
      <c r="C1051" s="12">
        <v>45537</v>
      </c>
      <c r="D1051" s="8">
        <v>14.510999999999999</v>
      </c>
      <c r="E1051" s="8">
        <v>172.27600000000001</v>
      </c>
      <c r="F1051" s="13"/>
      <c r="G1051" s="13" t="s">
        <v>38</v>
      </c>
      <c r="H1051" s="13" t="s">
        <v>40</v>
      </c>
      <c r="I1051" s="13" t="s">
        <v>41</v>
      </c>
      <c r="J1051" s="17">
        <f t="shared" si="16"/>
        <v>2499.8970359999998</v>
      </c>
      <c r="K1051" s="15" t="s">
        <v>16</v>
      </c>
      <c r="L1051" s="13"/>
      <c r="M1051" s="13"/>
      <c r="N1051" s="14"/>
    </row>
    <row r="1052" spans="1:14" x14ac:dyDescent="0.35">
      <c r="A1052" s="16" t="s">
        <v>60</v>
      </c>
      <c r="B1052" s="13" t="s">
        <v>61</v>
      </c>
      <c r="C1052" s="12">
        <v>45538</v>
      </c>
      <c r="D1052" s="8">
        <v>226.857</v>
      </c>
      <c r="E1052" s="8">
        <v>55.097999999999999</v>
      </c>
      <c r="F1052" s="13"/>
      <c r="G1052" s="13" t="s">
        <v>13</v>
      </c>
      <c r="H1052" s="13" t="s">
        <v>62</v>
      </c>
      <c r="I1052" s="13" t="s">
        <v>63</v>
      </c>
      <c r="J1052" s="17">
        <f t="shared" si="16"/>
        <v>12499.366985999999</v>
      </c>
      <c r="K1052" s="15" t="s">
        <v>16</v>
      </c>
      <c r="L1052" s="13"/>
      <c r="M1052" s="13"/>
      <c r="N1052" s="14"/>
    </row>
    <row r="1053" spans="1:14" x14ac:dyDescent="0.35">
      <c r="A1053" s="16" t="s">
        <v>48</v>
      </c>
      <c r="B1053" s="13" t="s">
        <v>39</v>
      </c>
      <c r="C1053" s="12">
        <v>45540</v>
      </c>
      <c r="D1053" s="8">
        <v>14.744999999999999</v>
      </c>
      <c r="E1053" s="8">
        <v>169.876</v>
      </c>
      <c r="F1053" s="13"/>
      <c r="G1053" s="13" t="s">
        <v>38</v>
      </c>
      <c r="H1053" s="13" t="s">
        <v>40</v>
      </c>
      <c r="I1053" s="13" t="s">
        <v>41</v>
      </c>
      <c r="J1053" s="17">
        <f t="shared" si="16"/>
        <v>2504.8216199999997</v>
      </c>
      <c r="K1053" s="15" t="s">
        <v>16</v>
      </c>
      <c r="L1053" s="13"/>
      <c r="M1053" s="13"/>
      <c r="N1053" s="14"/>
    </row>
    <row r="1054" spans="1:14" x14ac:dyDescent="0.35">
      <c r="A1054" s="16" t="s">
        <v>48</v>
      </c>
      <c r="B1054" s="13" t="s">
        <v>39</v>
      </c>
      <c r="C1054" s="12">
        <v>45544</v>
      </c>
      <c r="D1054" s="8">
        <v>58.543999999999997</v>
      </c>
      <c r="E1054" s="8">
        <v>170.803</v>
      </c>
      <c r="F1054" s="13"/>
      <c r="G1054" s="13" t="s">
        <v>38</v>
      </c>
      <c r="H1054" s="13" t="s">
        <v>40</v>
      </c>
      <c r="I1054" s="13" t="s">
        <v>41</v>
      </c>
      <c r="J1054" s="17">
        <f t="shared" si="16"/>
        <v>9999.4908319999995</v>
      </c>
      <c r="K1054" s="15" t="s">
        <v>16</v>
      </c>
      <c r="L1054" s="13"/>
      <c r="M1054" s="13"/>
      <c r="N1054" s="14"/>
    </row>
    <row r="1055" spans="1:14" x14ac:dyDescent="0.35">
      <c r="A1055" s="16" t="s">
        <v>53</v>
      </c>
      <c r="B1055" s="13" t="s">
        <v>54</v>
      </c>
      <c r="C1055" s="12">
        <v>45546</v>
      </c>
      <c r="D1055" s="8">
        <v>24.33</v>
      </c>
      <c r="E1055" s="8">
        <v>123.3</v>
      </c>
      <c r="F1055" s="13"/>
      <c r="G1055" s="13" t="s">
        <v>38</v>
      </c>
      <c r="H1055" s="13" t="s">
        <v>40</v>
      </c>
      <c r="I1055" s="13" t="s">
        <v>55</v>
      </c>
      <c r="J1055" s="17">
        <f t="shared" si="16"/>
        <v>2999.8889999999997</v>
      </c>
      <c r="K1055" s="15" t="s">
        <v>16</v>
      </c>
      <c r="L1055" s="13"/>
      <c r="M1055" s="13"/>
      <c r="N1055" s="14"/>
    </row>
    <row r="1056" spans="1:14" x14ac:dyDescent="0.35">
      <c r="A1056" s="16" t="s">
        <v>27</v>
      </c>
      <c r="B1056" s="13" t="s">
        <v>56</v>
      </c>
      <c r="C1056" s="12">
        <v>45546</v>
      </c>
      <c r="D1056" s="8">
        <v>49.723999999999997</v>
      </c>
      <c r="E1056" s="8">
        <v>20.11</v>
      </c>
      <c r="F1056" s="13"/>
      <c r="G1056" s="13" t="s">
        <v>13</v>
      </c>
      <c r="H1056" s="13" t="s">
        <v>40</v>
      </c>
      <c r="I1056" s="13" t="s">
        <v>57</v>
      </c>
      <c r="J1056" s="17">
        <f t="shared" si="16"/>
        <v>999.94963999999993</v>
      </c>
      <c r="K1056" s="15" t="s">
        <v>16</v>
      </c>
      <c r="L1056" s="13"/>
      <c r="M1056" s="13"/>
      <c r="N1056" s="14"/>
    </row>
    <row r="1057" spans="1:14" x14ac:dyDescent="0.35">
      <c r="A1057" s="16">
        <v>79931510915</v>
      </c>
      <c r="B1057" s="13" t="s">
        <v>39</v>
      </c>
      <c r="C1057" s="12">
        <v>45546</v>
      </c>
      <c r="D1057" s="8">
        <v>11.603999999999999</v>
      </c>
      <c r="E1057" s="8">
        <v>172.339</v>
      </c>
      <c r="F1057" s="13"/>
      <c r="G1057" s="13" t="s">
        <v>38</v>
      </c>
      <c r="H1057" s="13" t="s">
        <v>40</v>
      </c>
      <c r="I1057" s="13" t="s">
        <v>41</v>
      </c>
      <c r="J1057" s="17">
        <f t="shared" si="16"/>
        <v>1999.8217559999998</v>
      </c>
      <c r="K1057" s="15" t="s">
        <v>16</v>
      </c>
      <c r="L1057" s="13"/>
      <c r="M1057" s="13"/>
      <c r="N1057" s="14"/>
    </row>
    <row r="1058" spans="1:14" x14ac:dyDescent="0.35">
      <c r="A1058" s="16" t="s">
        <v>49</v>
      </c>
      <c r="B1058" s="13" t="s">
        <v>39</v>
      </c>
      <c r="C1058" s="12">
        <v>45553</v>
      </c>
      <c r="D1058" s="8">
        <v>14.638999999999999</v>
      </c>
      <c r="E1058" s="8">
        <v>170.76900000000001</v>
      </c>
      <c r="F1058" s="13"/>
      <c r="G1058" s="13" t="s">
        <v>31</v>
      </c>
      <c r="H1058" s="13" t="s">
        <v>40</v>
      </c>
      <c r="I1058" s="13" t="s">
        <v>41</v>
      </c>
      <c r="J1058" s="17">
        <f t="shared" si="16"/>
        <v>2499.8873909999998</v>
      </c>
      <c r="K1058" s="15" t="s">
        <v>32</v>
      </c>
      <c r="L1058" s="13"/>
      <c r="M1058" s="13"/>
      <c r="N1058" s="14"/>
    </row>
    <row r="1059" spans="1:14" x14ac:dyDescent="0.35">
      <c r="A1059" s="16" t="s">
        <v>74</v>
      </c>
      <c r="B1059" s="13" t="s">
        <v>42</v>
      </c>
      <c r="C1059" s="12">
        <v>45554</v>
      </c>
      <c r="D1059" s="8">
        <v>14.198</v>
      </c>
      <c r="E1059" s="8">
        <v>211.2903</v>
      </c>
      <c r="F1059" s="13"/>
      <c r="G1059" s="13" t="s">
        <v>31</v>
      </c>
      <c r="H1059" s="13" t="s">
        <v>40</v>
      </c>
      <c r="I1059" s="13" t="s">
        <v>43</v>
      </c>
      <c r="J1059" s="17">
        <f t="shared" si="16"/>
        <v>2999.8996794</v>
      </c>
      <c r="K1059" s="15" t="s">
        <v>32</v>
      </c>
      <c r="L1059" s="13"/>
      <c r="M1059" s="13"/>
      <c r="N1059" s="14"/>
    </row>
    <row r="1060" spans="1:14" x14ac:dyDescent="0.35">
      <c r="A1060" s="16">
        <v>79931510915</v>
      </c>
      <c r="B1060" s="13" t="s">
        <v>39</v>
      </c>
      <c r="C1060" s="12">
        <v>45558</v>
      </c>
      <c r="D1060" s="8">
        <v>17.239999999999998</v>
      </c>
      <c r="E1060" s="8">
        <v>174.005</v>
      </c>
      <c r="F1060" s="13"/>
      <c r="G1060" s="13" t="s">
        <v>38</v>
      </c>
      <c r="H1060" s="13" t="s">
        <v>40</v>
      </c>
      <c r="I1060" s="13" t="s">
        <v>41</v>
      </c>
      <c r="J1060" s="17">
        <f t="shared" si="16"/>
        <v>2999.8461999999995</v>
      </c>
      <c r="K1060" s="15" t="s">
        <v>16</v>
      </c>
      <c r="L1060" s="13"/>
      <c r="M1060" s="13"/>
      <c r="N1060" s="14"/>
    </row>
    <row r="1061" spans="1:14" x14ac:dyDescent="0.35">
      <c r="A1061" s="16" t="s">
        <v>65</v>
      </c>
      <c r="B1061" s="13" t="s">
        <v>54</v>
      </c>
      <c r="C1061" s="12">
        <v>45560</v>
      </c>
      <c r="D1061" s="8">
        <v>126.03</v>
      </c>
      <c r="E1061" s="8">
        <v>39.670999999999999</v>
      </c>
      <c r="F1061" s="13"/>
      <c r="G1061" s="13" t="s">
        <v>38</v>
      </c>
      <c r="H1061" s="13" t="s">
        <v>66</v>
      </c>
      <c r="I1061" s="13" t="s">
        <v>55</v>
      </c>
      <c r="J1061" s="17">
        <f t="shared" si="16"/>
        <v>4999.7361300000002</v>
      </c>
      <c r="K1061" s="15" t="s">
        <v>16</v>
      </c>
      <c r="L1061" s="13"/>
      <c r="M1061" s="13"/>
      <c r="N1061" s="14"/>
    </row>
    <row r="1062" spans="1:14" x14ac:dyDescent="0.35">
      <c r="A1062" s="16" t="s">
        <v>67</v>
      </c>
      <c r="B1062" s="13" t="s">
        <v>54</v>
      </c>
      <c r="C1062" s="12">
        <v>45560</v>
      </c>
      <c r="D1062" s="8">
        <v>39.670999999999999</v>
      </c>
      <c r="E1062" s="8">
        <v>126.03</v>
      </c>
      <c r="F1062" s="13"/>
      <c r="G1062" s="13" t="s">
        <v>38</v>
      </c>
      <c r="H1062" s="13" t="s">
        <v>68</v>
      </c>
      <c r="I1062" s="13" t="s">
        <v>55</v>
      </c>
      <c r="J1062" s="17">
        <f t="shared" si="16"/>
        <v>4999.7361300000002</v>
      </c>
      <c r="K1062" s="15" t="s">
        <v>16</v>
      </c>
      <c r="L1062" s="13"/>
      <c r="M1062" s="13"/>
      <c r="N1062" s="14"/>
    </row>
    <row r="1063" spans="1:14" x14ac:dyDescent="0.35">
      <c r="A1063" s="16">
        <v>79944037504</v>
      </c>
      <c r="B1063" s="13" t="s">
        <v>39</v>
      </c>
      <c r="C1063" s="12">
        <v>45560</v>
      </c>
      <c r="D1063" s="8">
        <v>28.565000000000001</v>
      </c>
      <c r="E1063" s="8">
        <v>175.20500000000001</v>
      </c>
      <c r="F1063" s="13"/>
      <c r="G1063" s="13" t="s">
        <v>38</v>
      </c>
      <c r="H1063" s="13" t="s">
        <v>40</v>
      </c>
      <c r="I1063" s="13" t="s">
        <v>41</v>
      </c>
      <c r="J1063" s="17">
        <f t="shared" si="16"/>
        <v>5004.7308250000006</v>
      </c>
      <c r="K1063" s="15" t="s">
        <v>16</v>
      </c>
      <c r="L1063" s="13"/>
      <c r="M1063" s="13"/>
      <c r="N1063" s="14"/>
    </row>
    <row r="1064" spans="1:14" x14ac:dyDescent="0.35">
      <c r="A1064" s="16" t="s">
        <v>48</v>
      </c>
      <c r="B1064" s="13" t="s">
        <v>39</v>
      </c>
      <c r="C1064" s="12">
        <v>45566</v>
      </c>
      <c r="D1064" s="8">
        <v>14.644</v>
      </c>
      <c r="E1064" s="8">
        <v>170.70699999999999</v>
      </c>
      <c r="F1064" s="13"/>
      <c r="G1064" s="13" t="s">
        <v>38</v>
      </c>
      <c r="H1064" s="13" t="s">
        <v>40</v>
      </c>
      <c r="I1064" s="13" t="s">
        <v>41</v>
      </c>
      <c r="J1064" s="17">
        <f t="shared" si="16"/>
        <v>2499.8333079999998</v>
      </c>
      <c r="K1064" s="15" t="s">
        <v>16</v>
      </c>
      <c r="L1064" s="13"/>
      <c r="M1064" s="13"/>
      <c r="N1064" s="14"/>
    </row>
    <row r="1065" spans="1:14" x14ac:dyDescent="0.35">
      <c r="A1065" s="16" t="s">
        <v>60</v>
      </c>
      <c r="B1065" s="13" t="s">
        <v>61</v>
      </c>
      <c r="C1065" s="12">
        <v>45568</v>
      </c>
      <c r="D1065" s="8">
        <v>1275.2139999999999</v>
      </c>
      <c r="E1065" s="8">
        <v>54.89</v>
      </c>
      <c r="F1065" s="13"/>
      <c r="G1065" s="13" t="s">
        <v>13</v>
      </c>
      <c r="H1065" s="13" t="s">
        <v>62</v>
      </c>
      <c r="I1065" s="13" t="s">
        <v>63</v>
      </c>
      <c r="J1065" s="17">
        <f t="shared" si="16"/>
        <v>69996.496459999995</v>
      </c>
      <c r="K1065" s="15" t="s">
        <v>16</v>
      </c>
      <c r="L1065" s="13"/>
      <c r="M1065" s="13"/>
      <c r="N1065" s="14"/>
    </row>
    <row r="1066" spans="1:14" x14ac:dyDescent="0.35">
      <c r="A1066" s="16" t="s">
        <v>27</v>
      </c>
      <c r="B1066" s="13" t="s">
        <v>71</v>
      </c>
      <c r="C1066" s="12">
        <v>45572</v>
      </c>
      <c r="D1066" s="8">
        <v>1139.383</v>
      </c>
      <c r="E1066" s="8">
        <v>43.89</v>
      </c>
      <c r="F1066" s="13"/>
      <c r="G1066" s="13" t="s">
        <v>13</v>
      </c>
      <c r="H1066" s="13" t="s">
        <v>72</v>
      </c>
      <c r="I1066" s="13" t="s">
        <v>73</v>
      </c>
      <c r="J1066" s="17">
        <f t="shared" si="16"/>
        <v>50007.519870000004</v>
      </c>
      <c r="K1066" s="15" t="s">
        <v>16</v>
      </c>
      <c r="L1066" s="13"/>
      <c r="M1066" s="13"/>
      <c r="N1066" s="14"/>
    </row>
    <row r="1067" spans="1:14" x14ac:dyDescent="0.35">
      <c r="A1067" s="16" t="s">
        <v>60</v>
      </c>
      <c r="B1067" s="13" t="s">
        <v>61</v>
      </c>
      <c r="C1067" s="12">
        <v>45572</v>
      </c>
      <c r="D1067" s="8">
        <v>280.21800000000002</v>
      </c>
      <c r="E1067" s="8">
        <v>53.527000000000001</v>
      </c>
      <c r="F1067" s="13"/>
      <c r="G1067" s="13" t="s">
        <v>13</v>
      </c>
      <c r="H1067" s="13" t="s">
        <v>62</v>
      </c>
      <c r="I1067" s="13" t="s">
        <v>63</v>
      </c>
      <c r="J1067" s="17">
        <f t="shared" si="16"/>
        <v>14999.228886000001</v>
      </c>
      <c r="K1067" s="15" t="s">
        <v>16</v>
      </c>
      <c r="L1067" s="13"/>
      <c r="M1067" s="13"/>
      <c r="N1067" s="14"/>
    </row>
    <row r="1068" spans="1:14" x14ac:dyDescent="0.35">
      <c r="A1068" s="16" t="s">
        <v>48</v>
      </c>
      <c r="B1068" s="13" t="s">
        <v>39</v>
      </c>
      <c r="C1068" s="12">
        <v>45572</v>
      </c>
      <c r="D1068" s="8">
        <v>59.399000000000001</v>
      </c>
      <c r="E1068" s="8">
        <v>168.346</v>
      </c>
      <c r="F1068" s="13"/>
      <c r="G1068" s="13" t="s">
        <v>38</v>
      </c>
      <c r="H1068" s="13" t="s">
        <v>40</v>
      </c>
      <c r="I1068" s="13" t="s">
        <v>41</v>
      </c>
      <c r="J1068" s="17">
        <f t="shared" si="16"/>
        <v>9999.5840540000008</v>
      </c>
      <c r="K1068" s="15" t="s">
        <v>16</v>
      </c>
      <c r="L1068" s="13"/>
      <c r="M1068" s="13"/>
      <c r="N1068" s="14"/>
    </row>
    <row r="1069" spans="1:14" x14ac:dyDescent="0.35">
      <c r="A1069" s="16" t="s">
        <v>48</v>
      </c>
      <c r="B1069" s="13" t="s">
        <v>39</v>
      </c>
      <c r="C1069" s="12">
        <v>45572</v>
      </c>
      <c r="D1069" s="8">
        <v>14.879</v>
      </c>
      <c r="E1069" s="8">
        <v>168.346</v>
      </c>
      <c r="F1069" s="13"/>
      <c r="G1069" s="13" t="s">
        <v>38</v>
      </c>
      <c r="H1069" s="13" t="s">
        <v>40</v>
      </c>
      <c r="I1069" s="13" t="s">
        <v>41</v>
      </c>
      <c r="J1069" s="17">
        <f t="shared" si="16"/>
        <v>2504.8201340000001</v>
      </c>
      <c r="K1069" s="15" t="s">
        <v>16</v>
      </c>
      <c r="L1069" s="13"/>
      <c r="M1069" s="13"/>
      <c r="N1069" s="14"/>
    </row>
    <row r="1070" spans="1:14" x14ac:dyDescent="0.35">
      <c r="A1070" s="16" t="s">
        <v>53</v>
      </c>
      <c r="B1070" s="13" t="s">
        <v>54</v>
      </c>
      <c r="C1070" s="12">
        <v>45576</v>
      </c>
      <c r="D1070" s="8">
        <v>24.097000000000001</v>
      </c>
      <c r="E1070" s="8">
        <v>124.49</v>
      </c>
      <c r="F1070" s="13"/>
      <c r="G1070" s="13" t="s">
        <v>38</v>
      </c>
      <c r="H1070" s="13" t="s">
        <v>40</v>
      </c>
      <c r="I1070" s="13" t="s">
        <v>55</v>
      </c>
      <c r="J1070" s="17">
        <f t="shared" si="16"/>
        <v>2999.8355299999998</v>
      </c>
      <c r="K1070" s="15" t="s">
        <v>16</v>
      </c>
      <c r="L1070" s="13"/>
      <c r="M1070" s="13"/>
      <c r="N1070" s="14"/>
    </row>
    <row r="1071" spans="1:14" x14ac:dyDescent="0.35">
      <c r="A1071" s="16" t="s">
        <v>27</v>
      </c>
      <c r="B1071" s="13" t="s">
        <v>56</v>
      </c>
      <c r="C1071" s="12">
        <v>45576</v>
      </c>
      <c r="D1071" s="8">
        <v>50.35</v>
      </c>
      <c r="E1071" s="8">
        <v>19.86</v>
      </c>
      <c r="F1071" s="13"/>
      <c r="G1071" s="13" t="s">
        <v>13</v>
      </c>
      <c r="H1071" s="13" t="s">
        <v>40</v>
      </c>
      <c r="I1071" s="13" t="s">
        <v>57</v>
      </c>
      <c r="J1071" s="17">
        <f t="shared" si="16"/>
        <v>999.95100000000002</v>
      </c>
      <c r="K1071" s="15" t="s">
        <v>16</v>
      </c>
      <c r="L1071" s="13"/>
      <c r="M1071" s="13"/>
      <c r="N1071" s="14"/>
    </row>
    <row r="1072" spans="1:14" x14ac:dyDescent="0.35">
      <c r="A1072" s="16">
        <v>79931510915</v>
      </c>
      <c r="B1072" s="13" t="s">
        <v>39</v>
      </c>
      <c r="C1072" s="12">
        <v>45576</v>
      </c>
      <c r="D1072" s="8">
        <v>11.768000000000001</v>
      </c>
      <c r="E1072" s="8">
        <v>169.94</v>
      </c>
      <c r="F1072" s="13"/>
      <c r="G1072" s="13" t="s">
        <v>38</v>
      </c>
      <c r="H1072" s="13" t="s">
        <v>40</v>
      </c>
      <c r="I1072" s="13" t="s">
        <v>41</v>
      </c>
      <c r="J1072" s="17">
        <f t="shared" si="16"/>
        <v>1999.85392</v>
      </c>
      <c r="K1072" s="15" t="s">
        <v>16</v>
      </c>
      <c r="L1072" s="13"/>
      <c r="M1072" s="13"/>
      <c r="N1072" s="14"/>
    </row>
    <row r="1073" spans="1:14" x14ac:dyDescent="0.35">
      <c r="A1073" s="16" t="s">
        <v>17</v>
      </c>
      <c r="B1073" s="13" t="s">
        <v>18</v>
      </c>
      <c r="C1073" s="12">
        <v>45580</v>
      </c>
      <c r="D1073" s="8">
        <v>24.542999999999999</v>
      </c>
      <c r="E1073" s="8">
        <v>203.92009999999999</v>
      </c>
      <c r="F1073" s="13"/>
      <c r="G1073" s="13" t="s">
        <v>13</v>
      </c>
      <c r="H1073" s="13" t="s">
        <v>40</v>
      </c>
      <c r="I1073" s="13" t="s">
        <v>19</v>
      </c>
      <c r="J1073" s="17">
        <f t="shared" si="16"/>
        <v>5004.8110142999994</v>
      </c>
      <c r="K1073" s="15" t="s">
        <v>16</v>
      </c>
      <c r="L1073" s="13"/>
      <c r="M1073" s="13"/>
      <c r="N1073" s="14"/>
    </row>
    <row r="1074" spans="1:14" x14ac:dyDescent="0.35">
      <c r="A1074" s="16" t="s">
        <v>49</v>
      </c>
      <c r="B1074" s="13" t="s">
        <v>39</v>
      </c>
      <c r="C1074" s="12">
        <v>45583</v>
      </c>
      <c r="D1074" s="8">
        <v>14.961</v>
      </c>
      <c r="E1074" s="8">
        <v>167.09800000000001</v>
      </c>
      <c r="F1074" s="13"/>
      <c r="G1074" s="13" t="s">
        <v>31</v>
      </c>
      <c r="H1074" s="13" t="s">
        <v>40</v>
      </c>
      <c r="I1074" s="13" t="s">
        <v>41</v>
      </c>
      <c r="J1074" s="17">
        <f t="shared" si="16"/>
        <v>2499.9531780000002</v>
      </c>
      <c r="K1074" s="15" t="s">
        <v>32</v>
      </c>
      <c r="L1074" s="13"/>
      <c r="M1074" s="13"/>
      <c r="N1074" s="14"/>
    </row>
    <row r="1075" spans="1:14" x14ac:dyDescent="0.35">
      <c r="A1075" s="16" t="s">
        <v>74</v>
      </c>
      <c r="B1075" s="13" t="s">
        <v>42</v>
      </c>
      <c r="C1075" s="12">
        <v>45586</v>
      </c>
      <c r="D1075" s="8">
        <v>14.340999999999999</v>
      </c>
      <c r="E1075" s="8">
        <v>209.18119999999999</v>
      </c>
      <c r="F1075" s="13"/>
      <c r="G1075" s="13" t="s">
        <v>31</v>
      </c>
      <c r="H1075" s="13" t="s">
        <v>40</v>
      </c>
      <c r="I1075" s="13" t="s">
        <v>43</v>
      </c>
      <c r="J1075" s="17">
        <f t="shared" si="16"/>
        <v>2999.8675891999997</v>
      </c>
      <c r="K1075" s="15" t="s">
        <v>32</v>
      </c>
      <c r="L1075" s="13"/>
      <c r="M1075" s="13"/>
      <c r="N1075" s="14"/>
    </row>
    <row r="1076" spans="1:14" x14ac:dyDescent="0.35">
      <c r="A1076" s="16">
        <v>79931510915</v>
      </c>
      <c r="B1076" s="13" t="s">
        <v>39</v>
      </c>
      <c r="C1076" s="12">
        <v>45587</v>
      </c>
      <c r="D1076" s="8">
        <v>18.338999999999999</v>
      </c>
      <c r="E1076" s="8">
        <v>163.577</v>
      </c>
      <c r="F1076" s="13"/>
      <c r="G1076" s="13" t="s">
        <v>38</v>
      </c>
      <c r="H1076" s="13" t="s">
        <v>40</v>
      </c>
      <c r="I1076" s="13" t="s">
        <v>41</v>
      </c>
      <c r="J1076" s="17">
        <f t="shared" si="16"/>
        <v>2999.8386029999997</v>
      </c>
      <c r="K1076" s="15" t="s">
        <v>16</v>
      </c>
      <c r="L1076" s="13"/>
      <c r="M1076" s="13"/>
      <c r="N1076" s="14"/>
    </row>
    <row r="1077" spans="1:14" x14ac:dyDescent="0.35">
      <c r="A1077" s="16" t="s">
        <v>65</v>
      </c>
      <c r="B1077" s="13" t="s">
        <v>54</v>
      </c>
      <c r="C1077" s="12">
        <v>45590</v>
      </c>
      <c r="D1077" s="8">
        <v>117.5</v>
      </c>
      <c r="E1077" s="8">
        <v>42.551000000000002</v>
      </c>
      <c r="F1077" s="13"/>
      <c r="G1077" s="13" t="s">
        <v>38</v>
      </c>
      <c r="H1077" s="13" t="s">
        <v>66</v>
      </c>
      <c r="I1077" s="13" t="s">
        <v>55</v>
      </c>
      <c r="J1077" s="17">
        <f t="shared" si="16"/>
        <v>4999.7425000000003</v>
      </c>
      <c r="K1077" s="15" t="s">
        <v>16</v>
      </c>
      <c r="L1077" s="13"/>
      <c r="M1077" s="13"/>
      <c r="N1077" s="14"/>
    </row>
    <row r="1078" spans="1:14" x14ac:dyDescent="0.35">
      <c r="A1078" s="16" t="s">
        <v>67</v>
      </c>
      <c r="B1078" s="13" t="s">
        <v>54</v>
      </c>
      <c r="C1078" s="12">
        <v>45590</v>
      </c>
      <c r="D1078" s="8">
        <v>42.551000000000002</v>
      </c>
      <c r="E1078" s="8">
        <v>117.5</v>
      </c>
      <c r="F1078" s="13"/>
      <c r="G1078" s="13" t="s">
        <v>38</v>
      </c>
      <c r="H1078" s="13" t="s">
        <v>68</v>
      </c>
      <c r="I1078" s="13" t="s">
        <v>55</v>
      </c>
      <c r="J1078" s="17">
        <f t="shared" si="16"/>
        <v>4999.7425000000003</v>
      </c>
      <c r="K1078" s="15" t="s">
        <v>16</v>
      </c>
      <c r="L1078" s="13"/>
      <c r="M1078" s="13"/>
      <c r="N1078" s="14"/>
    </row>
    <row r="1079" spans="1:14" x14ac:dyDescent="0.35">
      <c r="A1079" s="16">
        <v>79944037504</v>
      </c>
      <c r="B1079" s="13" t="s">
        <v>39</v>
      </c>
      <c r="C1079" s="12">
        <v>45590</v>
      </c>
      <c r="D1079" s="8">
        <v>30.853000000000002</v>
      </c>
      <c r="E1079" s="8">
        <v>162.215</v>
      </c>
      <c r="F1079" s="13"/>
      <c r="G1079" s="13" t="s">
        <v>38</v>
      </c>
      <c r="H1079" s="13" t="s">
        <v>40</v>
      </c>
      <c r="I1079" s="13" t="s">
        <v>41</v>
      </c>
      <c r="J1079" s="17">
        <f t="shared" si="16"/>
        <v>5004.8193950000004</v>
      </c>
      <c r="K1079" s="15" t="s">
        <v>16</v>
      </c>
      <c r="L1079" s="13"/>
      <c r="M1079" s="13"/>
      <c r="N1079" s="14"/>
    </row>
    <row r="1080" spans="1:14" x14ac:dyDescent="0.35">
      <c r="A1080" s="16" t="s">
        <v>48</v>
      </c>
      <c r="B1080" s="13" t="s">
        <v>39</v>
      </c>
      <c r="C1080" s="12">
        <v>45600</v>
      </c>
      <c r="D1080" s="8">
        <v>15.481999999999999</v>
      </c>
      <c r="E1080" s="8">
        <v>161.47</v>
      </c>
      <c r="F1080" s="13"/>
      <c r="G1080" s="13" t="s">
        <v>38</v>
      </c>
      <c r="H1080" s="13" t="s">
        <v>40</v>
      </c>
      <c r="I1080" s="13" t="s">
        <v>41</v>
      </c>
      <c r="J1080" s="17">
        <f t="shared" si="16"/>
        <v>2499.8785399999997</v>
      </c>
      <c r="K1080" s="15" t="s">
        <v>16</v>
      </c>
      <c r="L1080" s="13"/>
      <c r="M1080" s="13"/>
      <c r="N1080" s="14"/>
    </row>
    <row r="1081" spans="1:14" x14ac:dyDescent="0.35">
      <c r="A1081" s="16" t="s">
        <v>48</v>
      </c>
      <c r="B1081" s="13" t="s">
        <v>39</v>
      </c>
      <c r="C1081" s="12">
        <v>45601</v>
      </c>
      <c r="D1081" s="8">
        <v>15.141999999999999</v>
      </c>
      <c r="E1081" s="8">
        <v>165.42099999999999</v>
      </c>
      <c r="F1081" s="13"/>
      <c r="G1081" s="13" t="s">
        <v>38</v>
      </c>
      <c r="H1081" s="13" t="s">
        <v>40</v>
      </c>
      <c r="I1081" s="13" t="s">
        <v>41</v>
      </c>
      <c r="J1081" s="17">
        <f t="shared" si="16"/>
        <v>2504.8047819999997</v>
      </c>
      <c r="K1081" s="15" t="s">
        <v>16</v>
      </c>
      <c r="L1081" s="13"/>
      <c r="M1081" s="13"/>
      <c r="N1081" s="14"/>
    </row>
    <row r="1082" spans="1:14" x14ac:dyDescent="0.35">
      <c r="A1082" s="16" t="s">
        <v>48</v>
      </c>
      <c r="B1082" s="13" t="s">
        <v>39</v>
      </c>
      <c r="C1082" s="12">
        <v>45603</v>
      </c>
      <c r="D1082" s="8">
        <v>61.271000000000001</v>
      </c>
      <c r="E1082" s="8">
        <v>163.202</v>
      </c>
      <c r="F1082" s="13"/>
      <c r="G1082" s="13" t="s">
        <v>38</v>
      </c>
      <c r="H1082" s="13" t="s">
        <v>40</v>
      </c>
      <c r="I1082" s="13" t="s">
        <v>41</v>
      </c>
      <c r="J1082" s="17">
        <f t="shared" si="16"/>
        <v>9999.5497419999992</v>
      </c>
      <c r="K1082" s="15" t="s">
        <v>16</v>
      </c>
      <c r="L1082" s="13"/>
      <c r="M1082" s="13"/>
      <c r="N1082" s="14"/>
    </row>
    <row r="1083" spans="1:14" x14ac:dyDescent="0.35">
      <c r="A1083" s="16" t="s">
        <v>53</v>
      </c>
      <c r="B1083" s="13" t="s">
        <v>54</v>
      </c>
      <c r="C1083" s="12">
        <v>45607</v>
      </c>
      <c r="D1083" s="8">
        <v>25.402999999999999</v>
      </c>
      <c r="E1083" s="8">
        <v>118.09</v>
      </c>
      <c r="F1083" s="13"/>
      <c r="G1083" s="13" t="s">
        <v>38</v>
      </c>
      <c r="H1083" s="13" t="s">
        <v>40</v>
      </c>
      <c r="I1083" s="13" t="s">
        <v>55</v>
      </c>
      <c r="J1083" s="17">
        <f t="shared" si="16"/>
        <v>2999.8402700000001</v>
      </c>
      <c r="K1083" s="15" t="s">
        <v>16</v>
      </c>
      <c r="L1083" s="13"/>
      <c r="M1083" s="13"/>
      <c r="N1083" s="14"/>
    </row>
    <row r="1084" spans="1:14" x14ac:dyDescent="0.35">
      <c r="A1084" s="16" t="s">
        <v>27</v>
      </c>
      <c r="B1084" s="13" t="s">
        <v>56</v>
      </c>
      <c r="C1084" s="12">
        <v>45607</v>
      </c>
      <c r="D1084" s="8">
        <v>52.878999999999998</v>
      </c>
      <c r="E1084" s="8">
        <v>18.91</v>
      </c>
      <c r="F1084" s="13"/>
      <c r="G1084" s="13" t="s">
        <v>13</v>
      </c>
      <c r="H1084" s="13" t="s">
        <v>40</v>
      </c>
      <c r="I1084" s="13" t="s">
        <v>57</v>
      </c>
      <c r="J1084" s="17">
        <f t="shared" si="16"/>
        <v>999.94188999999994</v>
      </c>
      <c r="K1084" s="15" t="s">
        <v>16</v>
      </c>
      <c r="L1084" s="13"/>
      <c r="M1084" s="13"/>
      <c r="N1084" s="14"/>
    </row>
    <row r="1085" spans="1:14" x14ac:dyDescent="0.35">
      <c r="A1085" s="16">
        <v>79931510915</v>
      </c>
      <c r="B1085" s="13" t="s">
        <v>39</v>
      </c>
      <c r="C1085" s="12">
        <v>45607</v>
      </c>
      <c r="D1085" s="8">
        <v>12.461</v>
      </c>
      <c r="E1085" s="8">
        <v>160.495</v>
      </c>
      <c r="F1085" s="13"/>
      <c r="G1085" s="13" t="s">
        <v>38</v>
      </c>
      <c r="H1085" s="13" t="s">
        <v>40</v>
      </c>
      <c r="I1085" s="13" t="s">
        <v>41</v>
      </c>
      <c r="J1085" s="17">
        <f t="shared" si="16"/>
        <v>1999.9281950000002</v>
      </c>
      <c r="K1085" s="15" t="s">
        <v>16</v>
      </c>
      <c r="L1085" s="13"/>
      <c r="M1085" s="13"/>
      <c r="N1085" s="14"/>
    </row>
    <row r="1086" spans="1:14" x14ac:dyDescent="0.35">
      <c r="A1086" s="16" t="s">
        <v>17</v>
      </c>
      <c r="B1086" s="13" t="s">
        <v>18</v>
      </c>
      <c r="C1086" s="12">
        <v>45608</v>
      </c>
      <c r="D1086" s="8">
        <v>26.152999999999999</v>
      </c>
      <c r="E1086" s="8">
        <v>191.36660000000001</v>
      </c>
      <c r="F1086" s="13"/>
      <c r="G1086" s="13" t="s">
        <v>13</v>
      </c>
      <c r="H1086" s="13" t="s">
        <v>40</v>
      </c>
      <c r="I1086" s="13" t="s">
        <v>19</v>
      </c>
      <c r="J1086" s="17">
        <f t="shared" si="16"/>
        <v>5004.8106897999996</v>
      </c>
      <c r="K1086" s="15" t="s">
        <v>16</v>
      </c>
      <c r="L1086" s="13"/>
      <c r="M1086" s="13"/>
      <c r="N1086" s="14"/>
    </row>
    <row r="1087" spans="1:14" x14ac:dyDescent="0.35">
      <c r="A1087" s="16" t="s">
        <v>37</v>
      </c>
      <c r="B1087" s="13" t="s">
        <v>25</v>
      </c>
      <c r="C1087" s="12">
        <v>45608</v>
      </c>
      <c r="D1087" s="8">
        <v>2309.77</v>
      </c>
      <c r="E1087" s="8">
        <v>86.586399999999998</v>
      </c>
      <c r="F1087" s="13"/>
      <c r="G1087" s="13" t="s">
        <v>38</v>
      </c>
      <c r="H1087" s="13"/>
      <c r="I1087" s="13" t="s">
        <v>26</v>
      </c>
      <c r="J1087" s="17">
        <f t="shared" si="16"/>
        <v>199994.66912799998</v>
      </c>
      <c r="K1087" s="15" t="s">
        <v>16</v>
      </c>
      <c r="L1087" s="13"/>
      <c r="M1087" s="13"/>
      <c r="N1087" s="14"/>
    </row>
    <row r="1088" spans="1:14" x14ac:dyDescent="0.35">
      <c r="A1088" s="16" t="s">
        <v>49</v>
      </c>
      <c r="B1088" s="13" t="s">
        <v>39</v>
      </c>
      <c r="C1088" s="12">
        <v>45614</v>
      </c>
      <c r="D1088" s="8">
        <v>15.811</v>
      </c>
      <c r="E1088" s="8">
        <v>158.11500000000001</v>
      </c>
      <c r="F1088" s="13"/>
      <c r="G1088" s="13" t="s">
        <v>31</v>
      </c>
      <c r="H1088" s="13" t="s">
        <v>40</v>
      </c>
      <c r="I1088" s="13" t="s">
        <v>41</v>
      </c>
      <c r="J1088" s="17">
        <f t="shared" si="16"/>
        <v>2499.9562650000003</v>
      </c>
      <c r="K1088" s="15" t="s">
        <v>32</v>
      </c>
      <c r="L1088" s="13"/>
      <c r="M1088" s="13"/>
      <c r="N1088" s="14"/>
    </row>
    <row r="1089" spans="1:14" x14ac:dyDescent="0.35">
      <c r="A1089" s="16" t="s">
        <v>74</v>
      </c>
      <c r="B1089" s="13" t="s">
        <v>42</v>
      </c>
      <c r="C1089" s="12">
        <v>45615</v>
      </c>
      <c r="D1089" s="8">
        <v>15.234</v>
      </c>
      <c r="E1089" s="8">
        <v>196.91489999999999</v>
      </c>
      <c r="F1089" s="13"/>
      <c r="G1089" s="13" t="s">
        <v>31</v>
      </c>
      <c r="H1089" s="13" t="s">
        <v>40</v>
      </c>
      <c r="I1089" s="13" t="s">
        <v>43</v>
      </c>
      <c r="J1089" s="17">
        <f t="shared" si="16"/>
        <v>2999.8015865999996</v>
      </c>
      <c r="K1089" s="15" t="s">
        <v>32</v>
      </c>
      <c r="L1089" s="13"/>
      <c r="M1089" s="13"/>
      <c r="N1089" s="14"/>
    </row>
    <row r="1090" spans="1:14" x14ac:dyDescent="0.35">
      <c r="A1090" s="16">
        <v>79931510915</v>
      </c>
      <c r="B1090" s="13" t="s">
        <v>39</v>
      </c>
      <c r="C1090" s="12">
        <v>45618</v>
      </c>
      <c r="D1090" s="8">
        <v>18.407</v>
      </c>
      <c r="E1090" s="8">
        <v>162.976</v>
      </c>
      <c r="F1090" s="13"/>
      <c r="G1090" s="13" t="s">
        <v>38</v>
      </c>
      <c r="H1090" s="13" t="s">
        <v>40</v>
      </c>
      <c r="I1090" s="13" t="s">
        <v>41</v>
      </c>
      <c r="J1090" s="17">
        <f t="shared" ref="J1090:J1153" si="17">D1090*E1090</f>
        <v>2999.8992320000002</v>
      </c>
      <c r="K1090" s="15" t="s">
        <v>16</v>
      </c>
      <c r="L1090" s="13"/>
      <c r="M1090" s="13"/>
      <c r="N1090" s="14"/>
    </row>
    <row r="1091" spans="1:14" x14ac:dyDescent="0.35">
      <c r="A1091" s="16" t="s">
        <v>65</v>
      </c>
      <c r="B1091" s="13" t="s">
        <v>54</v>
      </c>
      <c r="C1091" s="12">
        <v>45621</v>
      </c>
      <c r="D1091" s="8">
        <v>120.13</v>
      </c>
      <c r="E1091" s="8">
        <v>41.619</v>
      </c>
      <c r="F1091" s="13"/>
      <c r="G1091" s="13" t="s">
        <v>38</v>
      </c>
      <c r="H1091" s="13" t="s">
        <v>66</v>
      </c>
      <c r="I1091" s="13" t="s">
        <v>55</v>
      </c>
      <c r="J1091" s="17">
        <f t="shared" si="17"/>
        <v>4999.6904699999996</v>
      </c>
      <c r="K1091" s="15" t="s">
        <v>16</v>
      </c>
      <c r="L1091" s="13"/>
      <c r="M1091" s="13"/>
      <c r="N1091" s="14"/>
    </row>
    <row r="1092" spans="1:14" x14ac:dyDescent="0.35">
      <c r="A1092" s="16" t="s">
        <v>67</v>
      </c>
      <c r="B1092" s="13" t="s">
        <v>54</v>
      </c>
      <c r="C1092" s="12">
        <v>45621</v>
      </c>
      <c r="D1092" s="8">
        <v>41.619</v>
      </c>
      <c r="E1092" s="8">
        <v>120.13</v>
      </c>
      <c r="F1092" s="13"/>
      <c r="G1092" s="13" t="s">
        <v>38</v>
      </c>
      <c r="H1092" s="13" t="s">
        <v>68</v>
      </c>
      <c r="I1092" s="13" t="s">
        <v>55</v>
      </c>
      <c r="J1092" s="17">
        <f t="shared" si="17"/>
        <v>4999.6904699999996</v>
      </c>
      <c r="K1092" s="15" t="s">
        <v>16</v>
      </c>
      <c r="L1092" s="13"/>
      <c r="M1092" s="13"/>
      <c r="N1092" s="14"/>
    </row>
    <row r="1093" spans="1:14" x14ac:dyDescent="0.35">
      <c r="A1093" s="16">
        <v>79944037504</v>
      </c>
      <c r="B1093" s="13" t="s">
        <v>39</v>
      </c>
      <c r="C1093" s="12">
        <v>45621</v>
      </c>
      <c r="D1093" s="8">
        <v>30.722999999999999</v>
      </c>
      <c r="E1093" s="8">
        <v>162.89699999999999</v>
      </c>
      <c r="F1093" s="13"/>
      <c r="G1093" s="13" t="s">
        <v>38</v>
      </c>
      <c r="H1093" s="13" t="s">
        <v>40</v>
      </c>
      <c r="I1093" s="13" t="s">
        <v>41</v>
      </c>
      <c r="J1093" s="17">
        <f t="shared" si="17"/>
        <v>5004.6845309999999</v>
      </c>
      <c r="K1093" s="15" t="s">
        <v>16</v>
      </c>
      <c r="L1093" s="13"/>
      <c r="M1093" s="13"/>
      <c r="N1093" s="14"/>
    </row>
    <row r="1094" spans="1:14" x14ac:dyDescent="0.35">
      <c r="A1094" s="16" t="s">
        <v>37</v>
      </c>
      <c r="B1094" s="13" t="s">
        <v>25</v>
      </c>
      <c r="C1094" s="12">
        <v>45624</v>
      </c>
      <c r="D1094" s="8">
        <v>1157.316</v>
      </c>
      <c r="E1094" s="8">
        <v>86.402500000000003</v>
      </c>
      <c r="F1094" s="13"/>
      <c r="G1094" s="13" t="s">
        <v>38</v>
      </c>
      <c r="H1094" s="13"/>
      <c r="I1094" s="13" t="s">
        <v>26</v>
      </c>
      <c r="J1094" s="17">
        <f t="shared" si="17"/>
        <v>99994.995690000011</v>
      </c>
      <c r="K1094" s="15" t="s">
        <v>16</v>
      </c>
      <c r="L1094" s="13"/>
      <c r="M1094" s="13"/>
      <c r="N1094" s="14"/>
    </row>
    <row r="1095" spans="1:14" x14ac:dyDescent="0.35">
      <c r="A1095" s="16" t="s">
        <v>48</v>
      </c>
      <c r="B1095" s="13" t="s">
        <v>39</v>
      </c>
      <c r="C1095" s="12">
        <v>45628</v>
      </c>
      <c r="D1095" s="8">
        <v>15.006</v>
      </c>
      <c r="E1095" s="8">
        <v>166.58699999999999</v>
      </c>
      <c r="F1095" s="13"/>
      <c r="G1095" s="13" t="s">
        <v>38</v>
      </c>
      <c r="H1095" s="13" t="s">
        <v>40</v>
      </c>
      <c r="I1095" s="13" t="s">
        <v>41</v>
      </c>
      <c r="J1095" s="17">
        <f t="shared" si="17"/>
        <v>2499.8045219999999</v>
      </c>
      <c r="K1095" s="15" t="s">
        <v>16</v>
      </c>
      <c r="L1095" s="13"/>
      <c r="M1095" s="13"/>
      <c r="N1095" s="14"/>
    </row>
    <row r="1096" spans="1:14" x14ac:dyDescent="0.35">
      <c r="A1096" s="16" t="s">
        <v>48</v>
      </c>
      <c r="B1096" s="13" t="s">
        <v>39</v>
      </c>
      <c r="C1096" s="12">
        <v>45631</v>
      </c>
      <c r="D1096" s="8">
        <v>14.816000000000001</v>
      </c>
      <c r="E1096" s="8">
        <v>169.06700000000001</v>
      </c>
      <c r="F1096" s="13"/>
      <c r="G1096" s="13" t="s">
        <v>38</v>
      </c>
      <c r="H1096" s="13" t="s">
        <v>40</v>
      </c>
      <c r="I1096" s="13" t="s">
        <v>41</v>
      </c>
      <c r="J1096" s="17">
        <f t="shared" si="17"/>
        <v>2504.8966720000003</v>
      </c>
      <c r="K1096" s="15" t="s">
        <v>16</v>
      </c>
      <c r="L1096" s="13"/>
      <c r="M1096" s="13"/>
      <c r="N1096" s="14"/>
    </row>
    <row r="1097" spans="1:14" x14ac:dyDescent="0.35">
      <c r="A1097" s="16" t="s">
        <v>48</v>
      </c>
      <c r="B1097" s="13" t="s">
        <v>39</v>
      </c>
      <c r="C1097" s="12">
        <v>45635</v>
      </c>
      <c r="D1097" s="8">
        <v>58.9</v>
      </c>
      <c r="E1097" s="8">
        <v>169.77099999999999</v>
      </c>
      <c r="F1097" s="13"/>
      <c r="G1097" s="13" t="s">
        <v>38</v>
      </c>
      <c r="H1097" s="13" t="s">
        <v>40</v>
      </c>
      <c r="I1097" s="13" t="s">
        <v>41</v>
      </c>
      <c r="J1097" s="17">
        <f t="shared" si="17"/>
        <v>9999.5118999999995</v>
      </c>
      <c r="K1097" s="15" t="s">
        <v>16</v>
      </c>
      <c r="L1097" s="13"/>
      <c r="M1097" s="13"/>
      <c r="N1097" s="14"/>
    </row>
    <row r="1098" spans="1:14" x14ac:dyDescent="0.35">
      <c r="A1098" s="16">
        <v>19915197402</v>
      </c>
      <c r="B1098" s="13" t="s">
        <v>28</v>
      </c>
      <c r="C1098" s="12">
        <v>45636</v>
      </c>
      <c r="D1098" s="8">
        <v>66.998000000000005</v>
      </c>
      <c r="E1098" s="8">
        <v>298.5</v>
      </c>
      <c r="F1098" s="13"/>
      <c r="G1098" s="13" t="s">
        <v>13</v>
      </c>
      <c r="H1098" s="13" t="s">
        <v>29</v>
      </c>
      <c r="I1098" s="13" t="s">
        <v>30</v>
      </c>
      <c r="J1098" s="17">
        <f t="shared" si="17"/>
        <v>19998.903000000002</v>
      </c>
      <c r="K1098" s="15" t="s">
        <v>16</v>
      </c>
      <c r="L1098" s="13"/>
      <c r="M1098" s="13"/>
      <c r="N1098" s="14"/>
    </row>
    <row r="1099" spans="1:14" x14ac:dyDescent="0.35">
      <c r="A1099" s="16" t="s">
        <v>60</v>
      </c>
      <c r="B1099" s="13" t="s">
        <v>61</v>
      </c>
      <c r="C1099" s="12">
        <v>45636</v>
      </c>
      <c r="D1099" s="8">
        <v>636.36699999999996</v>
      </c>
      <c r="E1099" s="8">
        <v>54.997</v>
      </c>
      <c r="F1099" s="13"/>
      <c r="G1099" s="13" t="s">
        <v>13</v>
      </c>
      <c r="H1099" s="13" t="s">
        <v>62</v>
      </c>
      <c r="I1099" s="13" t="s">
        <v>63</v>
      </c>
      <c r="J1099" s="17">
        <f t="shared" si="17"/>
        <v>34998.275899</v>
      </c>
      <c r="K1099" s="15" t="s">
        <v>16</v>
      </c>
      <c r="L1099" s="13"/>
      <c r="M1099" s="13"/>
      <c r="N1099" s="14"/>
    </row>
    <row r="1100" spans="1:14" x14ac:dyDescent="0.35">
      <c r="A1100" s="16" t="s">
        <v>53</v>
      </c>
      <c r="B1100" s="13" t="s">
        <v>54</v>
      </c>
      <c r="C1100" s="12">
        <v>45637</v>
      </c>
      <c r="D1100" s="8">
        <v>23.818000000000001</v>
      </c>
      <c r="E1100" s="8">
        <v>125.95</v>
      </c>
      <c r="F1100" s="13"/>
      <c r="G1100" s="13" t="s">
        <v>38</v>
      </c>
      <c r="H1100" s="13" t="s">
        <v>40</v>
      </c>
      <c r="I1100" s="13" t="s">
        <v>55</v>
      </c>
      <c r="J1100" s="17">
        <f t="shared" si="17"/>
        <v>2999.8771000000002</v>
      </c>
      <c r="K1100" s="15" t="s">
        <v>16</v>
      </c>
      <c r="L1100" s="13"/>
      <c r="M1100" s="13"/>
      <c r="N1100" s="14"/>
    </row>
    <row r="1101" spans="1:14" x14ac:dyDescent="0.35">
      <c r="A1101" s="16" t="s">
        <v>27</v>
      </c>
      <c r="B1101" s="13" t="s">
        <v>56</v>
      </c>
      <c r="C1101" s="12">
        <v>45637</v>
      </c>
      <c r="D1101" s="8">
        <v>51.018000000000001</v>
      </c>
      <c r="E1101" s="8">
        <v>19.600000000000001</v>
      </c>
      <c r="F1101" s="13"/>
      <c r="G1101" s="13" t="s">
        <v>13</v>
      </c>
      <c r="H1101" s="13" t="s">
        <v>40</v>
      </c>
      <c r="I1101" s="13" t="s">
        <v>57</v>
      </c>
      <c r="J1101" s="17">
        <f t="shared" si="17"/>
        <v>999.95280000000014</v>
      </c>
      <c r="K1101" s="15" t="s">
        <v>16</v>
      </c>
      <c r="L1101" s="13"/>
      <c r="M1101" s="13"/>
      <c r="N1101" s="14"/>
    </row>
    <row r="1102" spans="1:14" x14ac:dyDescent="0.35">
      <c r="A1102" s="16">
        <v>79931510915</v>
      </c>
      <c r="B1102" s="13" t="s">
        <v>39</v>
      </c>
      <c r="C1102" s="12">
        <v>45637</v>
      </c>
      <c r="D1102" s="8">
        <v>11.839</v>
      </c>
      <c r="E1102" s="8">
        <v>168.923</v>
      </c>
      <c r="F1102" s="13"/>
      <c r="G1102" s="13" t="s">
        <v>38</v>
      </c>
      <c r="H1102" s="13" t="s">
        <v>40</v>
      </c>
      <c r="I1102" s="13" t="s">
        <v>41</v>
      </c>
      <c r="J1102" s="17">
        <f t="shared" si="17"/>
        <v>1999.8793970000002</v>
      </c>
      <c r="K1102" s="15" t="s">
        <v>16</v>
      </c>
      <c r="L1102" s="13"/>
      <c r="M1102" s="13"/>
      <c r="N1102" s="14"/>
    </row>
    <row r="1103" spans="1:14" x14ac:dyDescent="0.35">
      <c r="A1103" s="16" t="s">
        <v>17</v>
      </c>
      <c r="B1103" s="13" t="s">
        <v>18</v>
      </c>
      <c r="C1103" s="12">
        <v>45637</v>
      </c>
      <c r="D1103" s="8">
        <v>24.552</v>
      </c>
      <c r="E1103" s="8">
        <v>203.8399</v>
      </c>
      <c r="F1103" s="13"/>
      <c r="G1103" s="13" t="s">
        <v>13</v>
      </c>
      <c r="H1103" s="13" t="s">
        <v>40</v>
      </c>
      <c r="I1103" s="13" t="s">
        <v>19</v>
      </c>
      <c r="J1103" s="17">
        <f t="shared" si="17"/>
        <v>5004.6772247999997</v>
      </c>
      <c r="K1103" s="15" t="s">
        <v>16</v>
      </c>
      <c r="L1103" s="13"/>
      <c r="M1103" s="13"/>
      <c r="N1103" s="14"/>
    </row>
    <row r="1104" spans="1:14" x14ac:dyDescent="0.35">
      <c r="A1104" s="16" t="s">
        <v>37</v>
      </c>
      <c r="B1104" s="13" t="s">
        <v>25</v>
      </c>
      <c r="C1104" s="12">
        <v>45638</v>
      </c>
      <c r="D1104" s="8">
        <v>2242.29</v>
      </c>
      <c r="E1104" s="8">
        <v>89.199200000000005</v>
      </c>
      <c r="F1104" s="13"/>
      <c r="G1104" s="13" t="s">
        <v>38</v>
      </c>
      <c r="H1104" s="13"/>
      <c r="I1104" s="13" t="s">
        <v>26</v>
      </c>
      <c r="J1104" s="17">
        <f t="shared" si="17"/>
        <v>200010.47416800002</v>
      </c>
      <c r="K1104" s="15" t="s">
        <v>16</v>
      </c>
      <c r="L1104" s="13"/>
      <c r="M1104" s="13"/>
      <c r="N1104" s="14"/>
    </row>
    <row r="1105" spans="1:14" x14ac:dyDescent="0.35">
      <c r="A1105" s="16" t="s">
        <v>37</v>
      </c>
      <c r="B1105" s="13" t="s">
        <v>25</v>
      </c>
      <c r="C1105" s="12">
        <v>45642</v>
      </c>
      <c r="D1105" s="8">
        <v>557.73299999999995</v>
      </c>
      <c r="E1105" s="8">
        <v>89.644099999999995</v>
      </c>
      <c r="F1105" s="13"/>
      <c r="G1105" s="13" t="s">
        <v>38</v>
      </c>
      <c r="H1105" s="13"/>
      <c r="I1105" s="13" t="s">
        <v>26</v>
      </c>
      <c r="J1105" s="17">
        <f t="shared" si="17"/>
        <v>49997.472825299992</v>
      </c>
      <c r="K1105" s="15" t="s">
        <v>16</v>
      </c>
      <c r="L1105" s="13"/>
      <c r="M1105" s="13"/>
      <c r="N1105" s="14"/>
    </row>
    <row r="1106" spans="1:14" x14ac:dyDescent="0.35">
      <c r="A1106" s="16" t="s">
        <v>37</v>
      </c>
      <c r="B1106" s="13" t="s">
        <v>25</v>
      </c>
      <c r="C1106" s="12">
        <v>45643</v>
      </c>
      <c r="D1106" s="8">
        <v>1121.789</v>
      </c>
      <c r="E1106" s="8">
        <v>89.138900000000007</v>
      </c>
      <c r="F1106" s="13"/>
      <c r="G1106" s="13" t="s">
        <v>38</v>
      </c>
      <c r="H1106" s="13"/>
      <c r="I1106" s="13" t="s">
        <v>26</v>
      </c>
      <c r="J1106" s="17">
        <f t="shared" si="17"/>
        <v>99995.037492100004</v>
      </c>
      <c r="K1106" s="15" t="s">
        <v>16</v>
      </c>
      <c r="L1106" s="13"/>
      <c r="M1106" s="13"/>
      <c r="N1106" s="14"/>
    </row>
    <row r="1107" spans="1:14" x14ac:dyDescent="0.35">
      <c r="A1107" s="16" t="s">
        <v>49</v>
      </c>
      <c r="B1107" s="13" t="s">
        <v>39</v>
      </c>
      <c r="C1107" s="12">
        <v>45644</v>
      </c>
      <c r="D1107" s="8">
        <v>15.129</v>
      </c>
      <c r="E1107" s="8">
        <v>165.23400000000001</v>
      </c>
      <c r="F1107" s="13"/>
      <c r="G1107" s="13" t="s">
        <v>31</v>
      </c>
      <c r="H1107" s="13" t="s">
        <v>40</v>
      </c>
      <c r="I1107" s="13" t="s">
        <v>41</v>
      </c>
      <c r="J1107" s="17">
        <f t="shared" si="17"/>
        <v>2499.825186</v>
      </c>
      <c r="K1107" s="15" t="s">
        <v>32</v>
      </c>
      <c r="L1107" s="13"/>
      <c r="M1107" s="13"/>
      <c r="N1107" s="14"/>
    </row>
    <row r="1108" spans="1:14" x14ac:dyDescent="0.35">
      <c r="A1108" s="16" t="s">
        <v>74</v>
      </c>
      <c r="B1108" s="13" t="s">
        <v>42</v>
      </c>
      <c r="C1108" s="12">
        <v>45645</v>
      </c>
      <c r="D1108" s="8">
        <v>14.41</v>
      </c>
      <c r="E1108" s="8">
        <v>208.1814</v>
      </c>
      <c r="F1108" s="13"/>
      <c r="G1108" s="13" t="s">
        <v>31</v>
      </c>
      <c r="H1108" s="13" t="s">
        <v>40</v>
      </c>
      <c r="I1108" s="13" t="s">
        <v>43</v>
      </c>
      <c r="J1108" s="17">
        <f t="shared" si="17"/>
        <v>2999.8939740000001</v>
      </c>
      <c r="K1108" s="15" t="s">
        <v>32</v>
      </c>
      <c r="L1108" s="13"/>
      <c r="M1108" s="13"/>
      <c r="N1108" s="14"/>
    </row>
    <row r="1109" spans="1:14" x14ac:dyDescent="0.35">
      <c r="A1109" s="16" t="s">
        <v>37</v>
      </c>
      <c r="B1109" s="13" t="s">
        <v>25</v>
      </c>
      <c r="C1109" s="12">
        <v>45645</v>
      </c>
      <c r="D1109" s="8">
        <v>852.71</v>
      </c>
      <c r="E1109" s="8">
        <v>87.950400000000002</v>
      </c>
      <c r="F1109" s="13">
        <v>25750575009</v>
      </c>
      <c r="G1109" s="13" t="s">
        <v>38</v>
      </c>
      <c r="H1109" s="13"/>
      <c r="I1109" s="13" t="s">
        <v>26</v>
      </c>
      <c r="J1109" s="17">
        <f t="shared" si="17"/>
        <v>74996.185584000006</v>
      </c>
      <c r="K1109" s="15" t="s">
        <v>16</v>
      </c>
      <c r="L1109" s="13"/>
      <c r="M1109" s="13"/>
      <c r="N1109" s="14"/>
    </row>
    <row r="1110" spans="1:14" x14ac:dyDescent="0.35">
      <c r="A1110" s="16">
        <v>79931510915</v>
      </c>
      <c r="B1110" s="13" t="s">
        <v>39</v>
      </c>
      <c r="C1110" s="12">
        <v>45649</v>
      </c>
      <c r="D1110" s="8">
        <v>18.440000000000001</v>
      </c>
      <c r="E1110" s="8">
        <v>162.684</v>
      </c>
      <c r="F1110" s="13"/>
      <c r="G1110" s="13" t="s">
        <v>38</v>
      </c>
      <c r="H1110" s="13" t="s">
        <v>40</v>
      </c>
      <c r="I1110" s="13" t="s">
        <v>41</v>
      </c>
      <c r="J1110" s="17">
        <f t="shared" si="17"/>
        <v>2999.8929600000001</v>
      </c>
      <c r="K1110" s="15" t="s">
        <v>16</v>
      </c>
      <c r="L1110" s="13"/>
      <c r="M1110" s="13"/>
      <c r="N1110" s="14"/>
    </row>
    <row r="1111" spans="1:14" x14ac:dyDescent="0.35">
      <c r="A1111" s="16" t="s">
        <v>65</v>
      </c>
      <c r="B1111" s="13" t="s">
        <v>54</v>
      </c>
      <c r="C1111" s="12">
        <v>45651</v>
      </c>
      <c r="D1111" s="8">
        <v>122.08</v>
      </c>
      <c r="E1111" s="8">
        <v>40.954999999999998</v>
      </c>
      <c r="F1111" s="13"/>
      <c r="G1111" s="13" t="s">
        <v>38</v>
      </c>
      <c r="H1111" s="13" t="s">
        <v>66</v>
      </c>
      <c r="I1111" s="13" t="s">
        <v>55</v>
      </c>
      <c r="J1111" s="17">
        <f t="shared" si="17"/>
        <v>4999.7864</v>
      </c>
      <c r="K1111" s="15" t="s">
        <v>16</v>
      </c>
      <c r="L1111" s="13"/>
      <c r="M1111" s="13"/>
      <c r="N1111" s="14"/>
    </row>
    <row r="1112" spans="1:14" x14ac:dyDescent="0.35">
      <c r="A1112" s="16" t="s">
        <v>67</v>
      </c>
      <c r="B1112" s="13" t="s">
        <v>54</v>
      </c>
      <c r="C1112" s="12">
        <v>45651</v>
      </c>
      <c r="D1112" s="8">
        <v>40.954999999999998</v>
      </c>
      <c r="E1112" s="8">
        <v>122.08</v>
      </c>
      <c r="F1112" s="13"/>
      <c r="G1112" s="13" t="s">
        <v>38</v>
      </c>
      <c r="H1112" s="13" t="s">
        <v>68</v>
      </c>
      <c r="I1112" s="13" t="s">
        <v>55</v>
      </c>
      <c r="J1112" s="17">
        <f t="shared" si="17"/>
        <v>4999.7864</v>
      </c>
      <c r="K1112" s="15" t="s">
        <v>16</v>
      </c>
      <c r="L1112" s="13"/>
      <c r="M1112" s="13"/>
      <c r="N1112" s="14"/>
    </row>
    <row r="1113" spans="1:14" x14ac:dyDescent="0.35">
      <c r="A1113" s="16">
        <v>79944037504</v>
      </c>
      <c r="B1113" s="13" t="s">
        <v>39</v>
      </c>
      <c r="C1113" s="12">
        <v>45652</v>
      </c>
      <c r="D1113" s="8">
        <v>30.722999999999999</v>
      </c>
      <c r="E1113" s="8">
        <v>162.89699999999999</v>
      </c>
      <c r="F1113" s="13"/>
      <c r="G1113" s="13" t="s">
        <v>38</v>
      </c>
      <c r="H1113" s="13" t="s">
        <v>40</v>
      </c>
      <c r="I1113" s="13" t="s">
        <v>41</v>
      </c>
      <c r="J1113" s="17">
        <f t="shared" si="17"/>
        <v>5004.6845309999999</v>
      </c>
      <c r="K1113" s="15" t="s">
        <v>16</v>
      </c>
      <c r="L1113" s="13"/>
      <c r="M1113" s="13"/>
      <c r="N1113" s="14"/>
    </row>
    <row r="1114" spans="1:14" x14ac:dyDescent="0.35">
      <c r="A1114" s="16" t="s">
        <v>37</v>
      </c>
      <c r="B1114" s="13" t="s">
        <v>25</v>
      </c>
      <c r="C1114" s="12">
        <v>45656</v>
      </c>
      <c r="D1114" s="8">
        <v>852.61</v>
      </c>
      <c r="E1114" s="8">
        <v>87.960400000000007</v>
      </c>
      <c r="F1114" s="13">
        <v>25751803247</v>
      </c>
      <c r="G1114" s="13" t="s">
        <v>38</v>
      </c>
      <c r="H1114" s="13"/>
      <c r="I1114" s="13" t="s">
        <v>26</v>
      </c>
      <c r="J1114" s="17">
        <f t="shared" si="17"/>
        <v>74995.916644000012</v>
      </c>
      <c r="K1114" s="15" t="s">
        <v>16</v>
      </c>
      <c r="L1114" s="13"/>
      <c r="M1114" s="13"/>
      <c r="N1114" s="14"/>
    </row>
    <row r="1115" spans="1:14" x14ac:dyDescent="0.35">
      <c r="A1115" s="16" t="s">
        <v>48</v>
      </c>
      <c r="B1115" s="13" t="s">
        <v>39</v>
      </c>
      <c r="C1115" s="12">
        <v>45658</v>
      </c>
      <c r="D1115" s="8">
        <v>15.218</v>
      </c>
      <c r="E1115" s="8">
        <v>164.267</v>
      </c>
      <c r="F1115" s="13"/>
      <c r="G1115" s="13" t="s">
        <v>38</v>
      </c>
      <c r="H1115" s="13" t="s">
        <v>40</v>
      </c>
      <c r="I1115" s="13" t="s">
        <v>41</v>
      </c>
      <c r="J1115" s="17">
        <f t="shared" si="17"/>
        <v>2499.8152059999998</v>
      </c>
      <c r="K1115" s="15" t="s">
        <v>16</v>
      </c>
      <c r="L1115" s="13"/>
      <c r="M1115" s="13"/>
      <c r="N1115" s="14"/>
    </row>
    <row r="1116" spans="1:14" x14ac:dyDescent="0.35">
      <c r="A1116" s="16" t="s">
        <v>48</v>
      </c>
      <c r="B1116" s="13" t="s">
        <v>39</v>
      </c>
      <c r="C1116" s="12">
        <v>45663</v>
      </c>
      <c r="D1116" s="8">
        <v>15.606</v>
      </c>
      <c r="E1116" s="8">
        <v>160.50700000000001</v>
      </c>
      <c r="F1116" s="13"/>
      <c r="G1116" s="13" t="s">
        <v>38</v>
      </c>
      <c r="H1116" s="13" t="s">
        <v>40</v>
      </c>
      <c r="I1116" s="13" t="s">
        <v>41</v>
      </c>
      <c r="J1116" s="17">
        <f t="shared" si="17"/>
        <v>2504.8722419999999</v>
      </c>
      <c r="K1116" s="15" t="s">
        <v>16</v>
      </c>
      <c r="L1116" s="13"/>
      <c r="M1116" s="13"/>
      <c r="N1116" s="14"/>
    </row>
    <row r="1117" spans="1:14" x14ac:dyDescent="0.35">
      <c r="A1117" s="16" t="s">
        <v>48</v>
      </c>
      <c r="B1117" s="13" t="s">
        <v>39</v>
      </c>
      <c r="C1117" s="12">
        <v>45664</v>
      </c>
      <c r="D1117" s="8">
        <v>62.695999999999998</v>
      </c>
      <c r="E1117" s="8">
        <v>159.49100000000001</v>
      </c>
      <c r="F1117" s="13"/>
      <c r="G1117" s="13" t="s">
        <v>38</v>
      </c>
      <c r="H1117" s="13" t="s">
        <v>40</v>
      </c>
      <c r="I1117" s="13" t="s">
        <v>41</v>
      </c>
      <c r="J1117" s="17">
        <f t="shared" si="17"/>
        <v>9999.4477360000001</v>
      </c>
      <c r="K1117" s="15" t="s">
        <v>16</v>
      </c>
      <c r="L1117" s="13"/>
      <c r="M1117" s="13"/>
      <c r="N1117" s="14"/>
    </row>
    <row r="1118" spans="1:14" x14ac:dyDescent="0.35">
      <c r="A1118" s="24" t="s">
        <v>50</v>
      </c>
      <c r="B1118" s="13" t="s">
        <v>51</v>
      </c>
      <c r="C1118" s="12">
        <v>45664</v>
      </c>
      <c r="D1118" s="8">
        <v>8748.2520000000004</v>
      </c>
      <c r="E1118" s="8">
        <v>378.29199999999997</v>
      </c>
      <c r="F1118" s="13"/>
      <c r="G1118" s="13" t="s">
        <v>13</v>
      </c>
      <c r="H1118" s="13" t="s">
        <v>77</v>
      </c>
      <c r="I1118" s="13" t="s">
        <v>52</v>
      </c>
      <c r="J1118" s="17">
        <f t="shared" si="17"/>
        <v>3309393.7455839999</v>
      </c>
      <c r="K1118" s="15" t="s">
        <v>16</v>
      </c>
      <c r="L1118" s="13"/>
      <c r="M1118" s="13"/>
      <c r="N1118" s="14"/>
    </row>
    <row r="1119" spans="1:14" x14ac:dyDescent="0.35">
      <c r="A1119" s="16" t="s">
        <v>78</v>
      </c>
      <c r="B1119" s="13" t="s">
        <v>54</v>
      </c>
      <c r="C1119" s="12">
        <v>45664</v>
      </c>
      <c r="D1119" s="8">
        <v>1551.297</v>
      </c>
      <c r="E1119" s="8">
        <v>122.8</v>
      </c>
      <c r="F1119" s="13" t="s">
        <v>79</v>
      </c>
      <c r="G1119" s="13" t="s">
        <v>31</v>
      </c>
      <c r="H1119" s="13" t="s">
        <v>80</v>
      </c>
      <c r="I1119" s="13" t="s">
        <v>55</v>
      </c>
      <c r="J1119" s="17">
        <f t="shared" si="17"/>
        <v>190499.27160000001</v>
      </c>
      <c r="K1119" s="15" t="s">
        <v>32</v>
      </c>
      <c r="L1119" s="13"/>
      <c r="M1119" s="13"/>
      <c r="N1119" s="14"/>
    </row>
    <row r="1120" spans="1:14" x14ac:dyDescent="0.35">
      <c r="A1120" s="16" t="s">
        <v>65</v>
      </c>
      <c r="B1120" s="13" t="s">
        <v>54</v>
      </c>
      <c r="C1120" s="12">
        <v>45666</v>
      </c>
      <c r="D1120" s="8">
        <v>120.6</v>
      </c>
      <c r="E1120" s="8">
        <v>41.457000000000001</v>
      </c>
      <c r="F1120" s="13"/>
      <c r="G1120" s="13" t="s">
        <v>38</v>
      </c>
      <c r="H1120" s="13" t="s">
        <v>66</v>
      </c>
      <c r="I1120" s="13" t="s">
        <v>55</v>
      </c>
      <c r="J1120" s="17">
        <f t="shared" si="17"/>
        <v>4999.7141999999994</v>
      </c>
      <c r="K1120" s="15" t="s">
        <v>16</v>
      </c>
      <c r="L1120" s="13"/>
      <c r="M1120" s="13"/>
      <c r="N1120" s="14"/>
    </row>
    <row r="1121" spans="1:14" x14ac:dyDescent="0.35">
      <c r="A1121" s="16" t="s">
        <v>67</v>
      </c>
      <c r="B1121" s="13" t="s">
        <v>54</v>
      </c>
      <c r="C1121" s="12">
        <v>45666</v>
      </c>
      <c r="D1121" s="8">
        <v>41.457000000000001</v>
      </c>
      <c r="E1121" s="8">
        <v>120.6</v>
      </c>
      <c r="F1121" s="13"/>
      <c r="G1121" s="13" t="s">
        <v>38</v>
      </c>
      <c r="H1121" s="13" t="s">
        <v>68</v>
      </c>
      <c r="I1121" s="13" t="s">
        <v>55</v>
      </c>
      <c r="J1121" s="17">
        <f t="shared" si="17"/>
        <v>4999.7141999999994</v>
      </c>
      <c r="K1121" s="15" t="s">
        <v>16</v>
      </c>
      <c r="L1121" s="13"/>
      <c r="M1121" s="13"/>
      <c r="N1121" s="14"/>
    </row>
    <row r="1122" spans="1:14" x14ac:dyDescent="0.35">
      <c r="A1122" s="16" t="s">
        <v>53</v>
      </c>
      <c r="B1122" s="13" t="s">
        <v>54</v>
      </c>
      <c r="C1122" s="12">
        <v>45670</v>
      </c>
      <c r="D1122" s="8">
        <v>25.948</v>
      </c>
      <c r="E1122" s="8">
        <v>115.61</v>
      </c>
      <c r="F1122" s="13"/>
      <c r="G1122" s="13" t="s">
        <v>38</v>
      </c>
      <c r="H1122" s="13" t="s">
        <v>40</v>
      </c>
      <c r="I1122" s="13" t="s">
        <v>55</v>
      </c>
      <c r="J1122" s="17">
        <f t="shared" si="17"/>
        <v>2999.8482800000002</v>
      </c>
      <c r="K1122" s="15" t="s">
        <v>16</v>
      </c>
      <c r="L1122" s="13"/>
      <c r="M1122" s="13"/>
      <c r="N1122" s="14"/>
    </row>
    <row r="1123" spans="1:14" x14ac:dyDescent="0.35">
      <c r="A1123" s="16" t="s">
        <v>27</v>
      </c>
      <c r="B1123" s="13" t="s">
        <v>56</v>
      </c>
      <c r="C1123" s="12">
        <v>45670</v>
      </c>
      <c r="D1123" s="8">
        <v>55.276000000000003</v>
      </c>
      <c r="E1123" s="8">
        <v>18.09</v>
      </c>
      <c r="F1123" s="13"/>
      <c r="G1123" s="13" t="s">
        <v>13</v>
      </c>
      <c r="H1123" s="13" t="s">
        <v>40</v>
      </c>
      <c r="I1123" s="13" t="s">
        <v>57</v>
      </c>
      <c r="J1123" s="17">
        <f t="shared" si="17"/>
        <v>999.94284000000005</v>
      </c>
      <c r="K1123" s="15" t="s">
        <v>16</v>
      </c>
      <c r="L1123" s="13"/>
      <c r="M1123" s="13"/>
      <c r="N1123" s="14"/>
    </row>
    <row r="1124" spans="1:14" x14ac:dyDescent="0.35">
      <c r="A1124" s="16">
        <v>79931510915</v>
      </c>
      <c r="B1124" s="13" t="s">
        <v>39</v>
      </c>
      <c r="C1124" s="12">
        <v>45670</v>
      </c>
      <c r="D1124" s="8">
        <v>12.996</v>
      </c>
      <c r="E1124" s="8">
        <v>153.88300000000001</v>
      </c>
      <c r="F1124" s="13"/>
      <c r="G1124" s="13" t="s">
        <v>38</v>
      </c>
      <c r="H1124" s="13" t="s">
        <v>40</v>
      </c>
      <c r="I1124" s="13" t="s">
        <v>41</v>
      </c>
      <c r="J1124" s="17">
        <f t="shared" si="17"/>
        <v>1999.8634680000002</v>
      </c>
      <c r="K1124" s="15" t="s">
        <v>16</v>
      </c>
      <c r="L1124" s="13"/>
      <c r="M1124" s="13"/>
      <c r="N1124" s="14"/>
    </row>
    <row r="1125" spans="1:14" x14ac:dyDescent="0.35">
      <c r="A1125" s="16" t="s">
        <v>17</v>
      </c>
      <c r="B1125" s="13" t="s">
        <v>18</v>
      </c>
      <c r="C1125" s="12">
        <v>45670</v>
      </c>
      <c r="D1125" s="8">
        <v>27.951000000000001</v>
      </c>
      <c r="E1125" s="8">
        <v>179.05699999999999</v>
      </c>
      <c r="F1125" s="13"/>
      <c r="G1125" s="13" t="s">
        <v>13</v>
      </c>
      <c r="H1125" s="13" t="s">
        <v>40</v>
      </c>
      <c r="I1125" s="13" t="s">
        <v>19</v>
      </c>
      <c r="J1125" s="17">
        <f t="shared" si="17"/>
        <v>5004.8222070000002</v>
      </c>
      <c r="K1125" s="15" t="s">
        <v>16</v>
      </c>
      <c r="L1125" s="13"/>
      <c r="M1125" s="13"/>
      <c r="N1125" s="14"/>
    </row>
    <row r="1126" spans="1:14" x14ac:dyDescent="0.35">
      <c r="A1126" s="16" t="s">
        <v>74</v>
      </c>
      <c r="B1126" s="13" t="s">
        <v>42</v>
      </c>
      <c r="C1126" s="12">
        <v>45677</v>
      </c>
      <c r="D1126" s="8">
        <v>15.635</v>
      </c>
      <c r="E1126" s="8">
        <v>191.8699</v>
      </c>
      <c r="F1126" s="13"/>
      <c r="G1126" s="13" t="s">
        <v>31</v>
      </c>
      <c r="H1126" s="13" t="s">
        <v>40</v>
      </c>
      <c r="I1126" s="13" t="s">
        <v>43</v>
      </c>
      <c r="J1126" s="17">
        <f t="shared" si="17"/>
        <v>2999.8858865000002</v>
      </c>
      <c r="K1126" s="15" t="s">
        <v>32</v>
      </c>
      <c r="L1126" s="13"/>
      <c r="M1126" s="13"/>
      <c r="N1126" s="14"/>
    </row>
    <row r="1127" spans="1:14" x14ac:dyDescent="0.35">
      <c r="A1127" s="16" t="s">
        <v>49</v>
      </c>
      <c r="B1127" s="13" t="s">
        <v>39</v>
      </c>
      <c r="C1127" s="12">
        <v>45677</v>
      </c>
      <c r="D1127" s="8">
        <v>15.949</v>
      </c>
      <c r="E1127" s="8">
        <v>156.745</v>
      </c>
      <c r="F1127" s="13"/>
      <c r="G1127" s="13" t="s">
        <v>31</v>
      </c>
      <c r="H1127" s="13" t="s">
        <v>40</v>
      </c>
      <c r="I1127" s="13" t="s">
        <v>41</v>
      </c>
      <c r="J1127" s="17">
        <f t="shared" si="17"/>
        <v>2499.9260050000003</v>
      </c>
      <c r="K1127" s="15" t="s">
        <v>32</v>
      </c>
      <c r="L1127" s="13"/>
      <c r="M1127" s="13"/>
      <c r="N1127" s="14"/>
    </row>
    <row r="1128" spans="1:14" x14ac:dyDescent="0.35">
      <c r="A1128" s="16">
        <v>79931510915</v>
      </c>
      <c r="B1128" s="13" t="s">
        <v>39</v>
      </c>
      <c r="C1128" s="12">
        <v>45679</v>
      </c>
      <c r="D1128" s="8">
        <v>19.382000000000001</v>
      </c>
      <c r="E1128" s="8">
        <v>154.773</v>
      </c>
      <c r="F1128" s="13"/>
      <c r="G1128" s="13" t="s">
        <v>38</v>
      </c>
      <c r="H1128" s="13" t="s">
        <v>40</v>
      </c>
      <c r="I1128" s="13" t="s">
        <v>41</v>
      </c>
      <c r="J1128" s="17">
        <f t="shared" si="17"/>
        <v>2999.8102860000004</v>
      </c>
      <c r="K1128" s="15" t="s">
        <v>16</v>
      </c>
      <c r="L1128" s="13"/>
      <c r="M1128" s="13"/>
      <c r="N1128" s="14"/>
    </row>
    <row r="1129" spans="1:14" x14ac:dyDescent="0.35">
      <c r="A1129" s="16" t="s">
        <v>65</v>
      </c>
      <c r="B1129" s="13" t="s">
        <v>54</v>
      </c>
      <c r="C1129" s="12">
        <v>45684</v>
      </c>
      <c r="D1129" s="8">
        <v>109.25</v>
      </c>
      <c r="E1129" s="8">
        <v>45.764000000000003</v>
      </c>
      <c r="F1129" s="13"/>
      <c r="G1129" s="13" t="s">
        <v>38</v>
      </c>
      <c r="H1129" s="13" t="s">
        <v>66</v>
      </c>
      <c r="I1129" s="13" t="s">
        <v>55</v>
      </c>
      <c r="J1129" s="17">
        <f t="shared" si="17"/>
        <v>4999.7170000000006</v>
      </c>
      <c r="K1129" s="15" t="s">
        <v>16</v>
      </c>
      <c r="L1129" s="13"/>
      <c r="M1129" s="13"/>
      <c r="N1129" s="14"/>
    </row>
    <row r="1130" spans="1:14" x14ac:dyDescent="0.35">
      <c r="A1130" s="16" t="s">
        <v>67</v>
      </c>
      <c r="B1130" s="13" t="s">
        <v>54</v>
      </c>
      <c r="C1130" s="12">
        <v>45684</v>
      </c>
      <c r="D1130" s="8">
        <v>45.764000000000003</v>
      </c>
      <c r="E1130" s="8">
        <v>109.25</v>
      </c>
      <c r="F1130" s="13"/>
      <c r="G1130" s="13" t="s">
        <v>38</v>
      </c>
      <c r="H1130" s="13" t="s">
        <v>68</v>
      </c>
      <c r="I1130" s="13" t="s">
        <v>55</v>
      </c>
      <c r="J1130" s="17">
        <f t="shared" si="17"/>
        <v>4999.7170000000006</v>
      </c>
      <c r="K1130" s="15" t="s">
        <v>16</v>
      </c>
      <c r="L1130" s="13"/>
      <c r="M1130" s="13"/>
      <c r="N1130" s="14"/>
    </row>
    <row r="1131" spans="1:14" x14ac:dyDescent="0.35">
      <c r="A1131" s="16">
        <v>79944037504</v>
      </c>
      <c r="B1131" s="13" t="s">
        <v>39</v>
      </c>
      <c r="C1131" s="12">
        <v>45684</v>
      </c>
      <c r="D1131" s="8">
        <v>33.503999999999998</v>
      </c>
      <c r="E1131" s="8">
        <v>149.37700000000001</v>
      </c>
      <c r="F1131" s="13"/>
      <c r="G1131" s="13" t="s">
        <v>38</v>
      </c>
      <c r="H1131" s="13" t="s">
        <v>40</v>
      </c>
      <c r="I1131" s="13" t="s">
        <v>41</v>
      </c>
      <c r="J1131" s="17">
        <f t="shared" si="17"/>
        <v>5004.7270079999998</v>
      </c>
      <c r="K1131" s="15" t="s">
        <v>16</v>
      </c>
      <c r="L1131" s="13"/>
      <c r="M1131" s="13"/>
      <c r="N1131" s="14"/>
    </row>
    <row r="1132" spans="1:14" x14ac:dyDescent="0.35">
      <c r="A1132" s="16" t="s">
        <v>48</v>
      </c>
      <c r="B1132" s="13" t="s">
        <v>39</v>
      </c>
      <c r="C1132" s="12">
        <v>45691</v>
      </c>
      <c r="D1132" s="8">
        <v>16.172999999999998</v>
      </c>
      <c r="E1132" s="8">
        <v>154.56899999999999</v>
      </c>
      <c r="F1132" s="13"/>
      <c r="G1132" s="13" t="s">
        <v>38</v>
      </c>
      <c r="H1132" s="13" t="s">
        <v>40</v>
      </c>
      <c r="I1132" s="13" t="s">
        <v>41</v>
      </c>
      <c r="J1132" s="17">
        <f t="shared" si="17"/>
        <v>2499.8444369999997</v>
      </c>
      <c r="K1132" s="15" t="s">
        <v>16</v>
      </c>
      <c r="L1132" s="13"/>
      <c r="M1132" s="13"/>
      <c r="N1132" s="14"/>
    </row>
    <row r="1133" spans="1:14" x14ac:dyDescent="0.35">
      <c r="A1133" s="16" t="s">
        <v>48</v>
      </c>
      <c r="B1133" s="13" t="s">
        <v>39</v>
      </c>
      <c r="C1133" s="12">
        <v>45693</v>
      </c>
      <c r="D1133" s="8">
        <v>16.216000000000001</v>
      </c>
      <c r="E1133" s="8">
        <v>154.46799999999999</v>
      </c>
      <c r="F1133" s="13"/>
      <c r="G1133" s="13" t="s">
        <v>38</v>
      </c>
      <c r="H1133" s="13" t="s">
        <v>40</v>
      </c>
      <c r="I1133" s="13" t="s">
        <v>41</v>
      </c>
      <c r="J1133" s="17">
        <f t="shared" si="17"/>
        <v>2504.8530879999998</v>
      </c>
      <c r="K1133" s="15" t="s">
        <v>16</v>
      </c>
      <c r="L1133" s="13"/>
      <c r="M1133" s="13"/>
      <c r="N1133" s="14"/>
    </row>
    <row r="1134" spans="1:14" x14ac:dyDescent="0.35">
      <c r="A1134" s="16" t="s">
        <v>48</v>
      </c>
      <c r="B1134" s="13" t="s">
        <v>39</v>
      </c>
      <c r="C1134" s="12">
        <v>45695</v>
      </c>
      <c r="D1134" s="8">
        <v>65.787000000000006</v>
      </c>
      <c r="E1134" s="8">
        <v>151.99799999999999</v>
      </c>
      <c r="F1134" s="13"/>
      <c r="G1134" s="13" t="s">
        <v>38</v>
      </c>
      <c r="H1134" s="13" t="s">
        <v>40</v>
      </c>
      <c r="I1134" s="13" t="s">
        <v>41</v>
      </c>
      <c r="J1134" s="17">
        <f t="shared" si="17"/>
        <v>9999.4924260000007</v>
      </c>
      <c r="K1134" s="15" t="s">
        <v>16</v>
      </c>
      <c r="L1134" s="13"/>
      <c r="M1134" s="13"/>
      <c r="N1134" s="14"/>
    </row>
    <row r="1135" spans="1:14" x14ac:dyDescent="0.35">
      <c r="A1135" s="24" t="s">
        <v>50</v>
      </c>
      <c r="B1135" s="13" t="s">
        <v>51</v>
      </c>
      <c r="C1135" s="12">
        <v>45695</v>
      </c>
      <c r="D1135" s="8">
        <v>32.131</v>
      </c>
      <c r="E1135" s="8">
        <v>357.89600000000002</v>
      </c>
      <c r="F1135" s="13"/>
      <c r="G1135" s="13" t="s">
        <v>13</v>
      </c>
      <c r="H1135" s="13"/>
      <c r="I1135" s="13" t="s">
        <v>52</v>
      </c>
      <c r="J1135" s="17">
        <f t="shared" si="17"/>
        <v>11499.556376</v>
      </c>
      <c r="K1135" s="15" t="s">
        <v>16</v>
      </c>
      <c r="L1135" s="13"/>
      <c r="M1135" s="13"/>
      <c r="N1135" s="14"/>
    </row>
    <row r="1136" spans="1:14" x14ac:dyDescent="0.35">
      <c r="A1136" s="16" t="s">
        <v>60</v>
      </c>
      <c r="B1136" s="13" t="s">
        <v>61</v>
      </c>
      <c r="C1136" s="12">
        <v>45698</v>
      </c>
      <c r="D1136" s="8">
        <v>100.065</v>
      </c>
      <c r="E1136" s="8">
        <v>49.965000000000003</v>
      </c>
      <c r="F1136" s="13"/>
      <c r="G1136" s="13" t="s">
        <v>13</v>
      </c>
      <c r="H1136" s="13" t="s">
        <v>62</v>
      </c>
      <c r="I1136" s="13" t="s">
        <v>63</v>
      </c>
      <c r="J1136" s="17">
        <f t="shared" si="17"/>
        <v>4999.7477250000002</v>
      </c>
      <c r="K1136" s="15" t="s">
        <v>16</v>
      </c>
      <c r="L1136" s="13"/>
      <c r="M1136" s="13"/>
      <c r="N1136" s="14"/>
    </row>
    <row r="1137" spans="1:14" x14ac:dyDescent="0.35">
      <c r="A1137" s="24" t="s">
        <v>50</v>
      </c>
      <c r="B1137" s="13" t="s">
        <v>51</v>
      </c>
      <c r="C1137" s="12">
        <v>45698</v>
      </c>
      <c r="D1137" s="8">
        <v>25.486000000000001</v>
      </c>
      <c r="E1137" s="8">
        <v>353.12099999999998</v>
      </c>
      <c r="F1137" s="13"/>
      <c r="G1137" s="13" t="s">
        <v>13</v>
      </c>
      <c r="H1137" s="13"/>
      <c r="I1137" s="13" t="s">
        <v>52</v>
      </c>
      <c r="J1137" s="17">
        <f t="shared" si="17"/>
        <v>8999.6418059999996</v>
      </c>
      <c r="K1137" s="15" t="s">
        <v>16</v>
      </c>
      <c r="L1137" s="13"/>
      <c r="M1137" s="13"/>
      <c r="N1137" s="14"/>
    </row>
    <row r="1138" spans="1:14" x14ac:dyDescent="0.35">
      <c r="A1138" s="16" t="s">
        <v>53</v>
      </c>
      <c r="B1138" s="13" t="s">
        <v>54</v>
      </c>
      <c r="C1138" s="12">
        <v>45699</v>
      </c>
      <c r="D1138" s="8">
        <v>27.456</v>
      </c>
      <c r="E1138" s="8">
        <v>109.26</v>
      </c>
      <c r="F1138" s="13"/>
      <c r="G1138" s="13" t="s">
        <v>38</v>
      </c>
      <c r="H1138" s="13" t="s">
        <v>40</v>
      </c>
      <c r="I1138" s="13" t="s">
        <v>55</v>
      </c>
      <c r="J1138" s="17">
        <f t="shared" si="17"/>
        <v>2999.84256</v>
      </c>
      <c r="K1138" s="15" t="s">
        <v>16</v>
      </c>
      <c r="L1138" s="13"/>
      <c r="M1138" s="13"/>
      <c r="N1138" s="14"/>
    </row>
    <row r="1139" spans="1:14" x14ac:dyDescent="0.35">
      <c r="A1139" s="16" t="s">
        <v>27</v>
      </c>
      <c r="B1139" s="13" t="s">
        <v>71</v>
      </c>
      <c r="C1139" s="12">
        <v>45699</v>
      </c>
      <c r="D1139" s="8">
        <v>392.03500000000003</v>
      </c>
      <c r="E1139" s="8">
        <v>38.26</v>
      </c>
      <c r="F1139" s="13"/>
      <c r="G1139" s="13" t="s">
        <v>13</v>
      </c>
      <c r="H1139" s="13" t="s">
        <v>72</v>
      </c>
      <c r="I1139" s="13" t="s">
        <v>73</v>
      </c>
      <c r="J1139" s="17">
        <f t="shared" si="17"/>
        <v>14999.259099999999</v>
      </c>
      <c r="K1139" s="15" t="s">
        <v>16</v>
      </c>
      <c r="L1139" s="13"/>
      <c r="M1139" s="13"/>
      <c r="N1139" s="14"/>
    </row>
    <row r="1140" spans="1:14" x14ac:dyDescent="0.35">
      <c r="A1140" s="16" t="s">
        <v>27</v>
      </c>
      <c r="B1140" s="13" t="s">
        <v>56</v>
      </c>
      <c r="C1140" s="12">
        <v>45699</v>
      </c>
      <c r="D1140" s="8">
        <v>57.106999999999999</v>
      </c>
      <c r="E1140" s="8">
        <v>17.510000000000002</v>
      </c>
      <c r="F1140" s="13"/>
      <c r="G1140" s="13" t="s">
        <v>13</v>
      </c>
      <c r="H1140" s="13" t="s">
        <v>40</v>
      </c>
      <c r="I1140" s="13" t="s">
        <v>57</v>
      </c>
      <c r="J1140" s="17">
        <f t="shared" si="17"/>
        <v>999.94357000000002</v>
      </c>
      <c r="K1140" s="15" t="s">
        <v>16</v>
      </c>
      <c r="L1140" s="13"/>
      <c r="M1140" s="13"/>
      <c r="N1140" s="14"/>
    </row>
    <row r="1141" spans="1:14" x14ac:dyDescent="0.35">
      <c r="A1141" s="16" t="s">
        <v>60</v>
      </c>
      <c r="B1141" s="13" t="s">
        <v>61</v>
      </c>
      <c r="C1141" s="12">
        <v>45699</v>
      </c>
      <c r="D1141" s="8">
        <v>102.065</v>
      </c>
      <c r="E1141" s="8">
        <v>48.985999999999997</v>
      </c>
      <c r="F1141" s="13"/>
      <c r="G1141" s="13" t="s">
        <v>13</v>
      </c>
      <c r="H1141" s="13" t="s">
        <v>62</v>
      </c>
      <c r="I1141" s="13" t="s">
        <v>63</v>
      </c>
      <c r="J1141" s="17">
        <f t="shared" si="17"/>
        <v>4999.7560899999999</v>
      </c>
      <c r="K1141" s="15" t="s">
        <v>16</v>
      </c>
      <c r="L1141" s="13"/>
      <c r="M1141" s="13"/>
      <c r="N1141" s="14"/>
    </row>
    <row r="1142" spans="1:14" x14ac:dyDescent="0.35">
      <c r="A1142" s="16">
        <v>79931510915</v>
      </c>
      <c r="B1142" s="13" t="s">
        <v>39</v>
      </c>
      <c r="C1142" s="12">
        <v>45699</v>
      </c>
      <c r="D1142" s="8">
        <v>13.51</v>
      </c>
      <c r="E1142" s="8">
        <v>148.02600000000001</v>
      </c>
      <c r="F1142" s="13"/>
      <c r="G1142" s="13" t="s">
        <v>38</v>
      </c>
      <c r="H1142" s="13" t="s">
        <v>40</v>
      </c>
      <c r="I1142" s="13" t="s">
        <v>41</v>
      </c>
      <c r="J1142" s="17">
        <f t="shared" si="17"/>
        <v>1999.8312600000002</v>
      </c>
      <c r="K1142" s="15" t="s">
        <v>16</v>
      </c>
      <c r="L1142" s="13"/>
      <c r="M1142" s="13"/>
      <c r="N1142" s="14"/>
    </row>
    <row r="1143" spans="1:14" x14ac:dyDescent="0.35">
      <c r="A1143" s="16" t="s">
        <v>17</v>
      </c>
      <c r="B1143" s="13" t="s">
        <v>18</v>
      </c>
      <c r="C1143" s="12">
        <v>45699</v>
      </c>
      <c r="D1143" s="8">
        <v>29.736999999999998</v>
      </c>
      <c r="E1143" s="8">
        <v>168.30080000000001</v>
      </c>
      <c r="F1143" s="13"/>
      <c r="G1143" s="13" t="s">
        <v>13</v>
      </c>
      <c r="H1143" s="13" t="s">
        <v>40</v>
      </c>
      <c r="I1143" s="13" t="s">
        <v>19</v>
      </c>
      <c r="J1143" s="17">
        <f t="shared" si="17"/>
        <v>5004.7608896000002</v>
      </c>
      <c r="K1143" s="15" t="s">
        <v>16</v>
      </c>
      <c r="L1143" s="13"/>
      <c r="M1143" s="13"/>
      <c r="N1143" s="14"/>
    </row>
    <row r="1144" spans="1:14" x14ac:dyDescent="0.35">
      <c r="A1144" s="24" t="s">
        <v>50</v>
      </c>
      <c r="B1144" s="13" t="s">
        <v>51</v>
      </c>
      <c r="C1144" s="12">
        <v>45699</v>
      </c>
      <c r="D1144" s="8">
        <v>57.808999999999997</v>
      </c>
      <c r="E1144" s="8">
        <v>345.95</v>
      </c>
      <c r="F1144" s="13"/>
      <c r="G1144" s="13" t="s">
        <v>13</v>
      </c>
      <c r="H1144" s="13"/>
      <c r="I1144" s="13" t="s">
        <v>52</v>
      </c>
      <c r="J1144" s="17">
        <f t="shared" si="17"/>
        <v>19999.023549999998</v>
      </c>
      <c r="K1144" s="15" t="s">
        <v>16</v>
      </c>
      <c r="L1144" s="13"/>
      <c r="M1144" s="13"/>
      <c r="N1144" s="14"/>
    </row>
    <row r="1145" spans="1:14" x14ac:dyDescent="0.35">
      <c r="A1145" s="16" t="s">
        <v>49</v>
      </c>
      <c r="B1145" s="13" t="s">
        <v>39</v>
      </c>
      <c r="C1145" s="12">
        <v>45706</v>
      </c>
      <c r="D1145" s="8">
        <v>16.888999999999999</v>
      </c>
      <c r="E1145" s="8">
        <v>148.02199999999999</v>
      </c>
      <c r="F1145" s="13"/>
      <c r="G1145" s="13" t="s">
        <v>31</v>
      </c>
      <c r="H1145" s="13" t="s">
        <v>40</v>
      </c>
      <c r="I1145" s="13" t="s">
        <v>41</v>
      </c>
      <c r="J1145" s="17">
        <f t="shared" si="17"/>
        <v>2499.9435579999999</v>
      </c>
      <c r="K1145" s="15" t="s">
        <v>32</v>
      </c>
      <c r="L1145" s="13"/>
      <c r="M1145" s="13"/>
      <c r="N1145" s="14"/>
    </row>
    <row r="1146" spans="1:14" x14ac:dyDescent="0.35">
      <c r="A1146" s="16" t="s">
        <v>74</v>
      </c>
      <c r="B1146" s="13" t="s">
        <v>42</v>
      </c>
      <c r="C1146" s="12">
        <v>45708</v>
      </c>
      <c r="D1146" s="8">
        <v>17.268000000000001</v>
      </c>
      <c r="E1146" s="8">
        <v>173.7251</v>
      </c>
      <c r="F1146" s="13"/>
      <c r="G1146" s="13" t="s">
        <v>31</v>
      </c>
      <c r="H1146" s="13" t="s">
        <v>40</v>
      </c>
      <c r="I1146" s="13" t="s">
        <v>43</v>
      </c>
      <c r="J1146" s="17">
        <f t="shared" si="17"/>
        <v>2999.8850268000001</v>
      </c>
      <c r="K1146" s="15" t="s">
        <v>32</v>
      </c>
      <c r="L1146" s="13"/>
      <c r="M1146" s="13"/>
      <c r="N1146" s="14"/>
    </row>
    <row r="1147" spans="1:14" x14ac:dyDescent="0.35">
      <c r="A1147" s="16">
        <v>79931510915</v>
      </c>
      <c r="B1147" s="13" t="s">
        <v>39</v>
      </c>
      <c r="C1147" s="12">
        <v>45712</v>
      </c>
      <c r="D1147" s="8">
        <v>20.72</v>
      </c>
      <c r="E1147" s="8">
        <v>144.78200000000001</v>
      </c>
      <c r="F1147" s="13"/>
      <c r="G1147" s="13" t="s">
        <v>38</v>
      </c>
      <c r="H1147" s="13" t="s">
        <v>40</v>
      </c>
      <c r="I1147" s="13" t="s">
        <v>41</v>
      </c>
      <c r="J1147" s="17">
        <f t="shared" si="17"/>
        <v>2999.8830400000002</v>
      </c>
      <c r="K1147" s="15" t="s">
        <v>16</v>
      </c>
      <c r="L1147" s="13"/>
      <c r="M1147" s="13"/>
      <c r="N1147" s="14"/>
    </row>
    <row r="1148" spans="1:14" x14ac:dyDescent="0.35">
      <c r="A1148" s="16" t="s">
        <v>65</v>
      </c>
      <c r="B1148" s="13" t="s">
        <v>54</v>
      </c>
      <c r="C1148" s="12">
        <v>45713</v>
      </c>
      <c r="D1148" s="8">
        <v>103.98</v>
      </c>
      <c r="E1148" s="8">
        <v>48.084000000000003</v>
      </c>
      <c r="F1148" s="13"/>
      <c r="G1148" s="13" t="s">
        <v>38</v>
      </c>
      <c r="H1148" s="13" t="s">
        <v>66</v>
      </c>
      <c r="I1148" s="13" t="s">
        <v>55</v>
      </c>
      <c r="J1148" s="17">
        <f t="shared" si="17"/>
        <v>4999.7743200000004</v>
      </c>
      <c r="K1148" s="15" t="s">
        <v>16</v>
      </c>
      <c r="L1148" s="13"/>
      <c r="M1148" s="13"/>
      <c r="N1148" s="14"/>
    </row>
    <row r="1149" spans="1:14" x14ac:dyDescent="0.35">
      <c r="A1149" s="16" t="s">
        <v>67</v>
      </c>
      <c r="B1149" s="13" t="s">
        <v>54</v>
      </c>
      <c r="C1149" s="12">
        <v>45713</v>
      </c>
      <c r="D1149" s="8">
        <v>48.084000000000003</v>
      </c>
      <c r="E1149" s="8">
        <v>103.98</v>
      </c>
      <c r="F1149" s="13"/>
      <c r="G1149" s="13" t="s">
        <v>38</v>
      </c>
      <c r="H1149" s="13" t="s">
        <v>68</v>
      </c>
      <c r="I1149" s="13" t="s">
        <v>55</v>
      </c>
      <c r="J1149" s="17">
        <f t="shared" si="17"/>
        <v>4999.7743200000004</v>
      </c>
      <c r="K1149" s="15" t="s">
        <v>16</v>
      </c>
      <c r="L1149" s="13"/>
      <c r="M1149" s="13"/>
      <c r="N1149" s="14"/>
    </row>
    <row r="1150" spans="1:14" x14ac:dyDescent="0.35">
      <c r="A1150" s="16">
        <v>79944037504</v>
      </c>
      <c r="B1150" s="13" t="s">
        <v>39</v>
      </c>
      <c r="C1150" s="12">
        <v>45713</v>
      </c>
      <c r="D1150" s="8">
        <v>34.781999999999996</v>
      </c>
      <c r="E1150" s="8">
        <v>143.88999999999999</v>
      </c>
      <c r="F1150" s="13"/>
      <c r="G1150" s="13" t="s">
        <v>38</v>
      </c>
      <c r="H1150" s="13" t="s">
        <v>40</v>
      </c>
      <c r="I1150" s="13" t="s">
        <v>41</v>
      </c>
      <c r="J1150" s="17">
        <f t="shared" si="17"/>
        <v>5004.7819799999988</v>
      </c>
      <c r="K1150" s="15" t="s">
        <v>16</v>
      </c>
      <c r="L1150" s="13"/>
      <c r="M1150" s="13"/>
      <c r="N1150" s="14"/>
    </row>
    <row r="1151" spans="1:14" x14ac:dyDescent="0.35">
      <c r="A1151" s="16" t="s">
        <v>48</v>
      </c>
      <c r="B1151" s="13" t="s">
        <v>39</v>
      </c>
      <c r="C1151" s="12">
        <v>45719</v>
      </c>
      <c r="D1151" s="8">
        <v>17.611999999999998</v>
      </c>
      <c r="E1151" s="8">
        <v>141.94499999999999</v>
      </c>
      <c r="F1151" s="13"/>
      <c r="G1151" s="13" t="s">
        <v>38</v>
      </c>
      <c r="H1151" s="13" t="s">
        <v>40</v>
      </c>
      <c r="I1151" s="13" t="s">
        <v>41</v>
      </c>
      <c r="J1151" s="17">
        <f t="shared" si="17"/>
        <v>2499.9353399999995</v>
      </c>
      <c r="K1151" s="15" t="s">
        <v>16</v>
      </c>
      <c r="L1151" s="13"/>
      <c r="M1151" s="13"/>
      <c r="N1151" s="14"/>
    </row>
    <row r="1152" spans="1:14" x14ac:dyDescent="0.35">
      <c r="A1152" s="16" t="s">
        <v>48</v>
      </c>
      <c r="B1152" s="13" t="s">
        <v>39</v>
      </c>
      <c r="C1152" s="12">
        <v>45721</v>
      </c>
      <c r="D1152" s="8">
        <v>17.100999999999999</v>
      </c>
      <c r="E1152" s="8">
        <v>146.47300000000001</v>
      </c>
      <c r="F1152" s="13"/>
      <c r="G1152" s="13" t="s">
        <v>38</v>
      </c>
      <c r="H1152" s="13" t="s">
        <v>40</v>
      </c>
      <c r="I1152" s="13" t="s">
        <v>41</v>
      </c>
      <c r="J1152" s="17">
        <f t="shared" si="17"/>
        <v>2504.834773</v>
      </c>
      <c r="K1152" s="15" t="s">
        <v>16</v>
      </c>
      <c r="L1152" s="13"/>
      <c r="M1152" s="13"/>
      <c r="N1152" s="14"/>
    </row>
    <row r="1153" spans="1:14" x14ac:dyDescent="0.35">
      <c r="A1153" s="16" t="s">
        <v>48</v>
      </c>
      <c r="B1153" s="13" t="s">
        <v>39</v>
      </c>
      <c r="C1153" s="12">
        <v>45723</v>
      </c>
      <c r="D1153" s="8">
        <v>69.099000000000004</v>
      </c>
      <c r="E1153" s="8">
        <v>144.71199999999999</v>
      </c>
      <c r="F1153" s="13"/>
      <c r="G1153" s="13" t="s">
        <v>38</v>
      </c>
      <c r="H1153" s="13" t="s">
        <v>40</v>
      </c>
      <c r="I1153" s="13" t="s">
        <v>41</v>
      </c>
      <c r="J1153" s="17">
        <f t="shared" si="17"/>
        <v>9999.4544879999994</v>
      </c>
      <c r="K1153" s="15" t="s">
        <v>16</v>
      </c>
      <c r="L1153" s="13"/>
      <c r="M1153" s="13"/>
      <c r="N1153" s="14"/>
    </row>
    <row r="1154" spans="1:14" x14ac:dyDescent="0.35">
      <c r="A1154" s="16" t="s">
        <v>53</v>
      </c>
      <c r="B1154" s="13" t="s">
        <v>54</v>
      </c>
      <c r="C1154" s="12">
        <v>45727</v>
      </c>
      <c r="D1154" s="8">
        <v>28.594999999999999</v>
      </c>
      <c r="E1154" s="8">
        <v>104.91</v>
      </c>
      <c r="F1154" s="13"/>
      <c r="G1154" s="13" t="s">
        <v>38</v>
      </c>
      <c r="H1154" s="13" t="s">
        <v>40</v>
      </c>
      <c r="I1154" s="13" t="s">
        <v>55</v>
      </c>
      <c r="J1154" s="17">
        <f t="shared" ref="J1154:J1217" si="18">D1154*E1154</f>
        <v>2999.9014499999998</v>
      </c>
      <c r="K1154" s="15" t="s">
        <v>16</v>
      </c>
      <c r="L1154" s="13"/>
      <c r="M1154" s="13"/>
      <c r="N1154" s="14"/>
    </row>
    <row r="1155" spans="1:14" x14ac:dyDescent="0.35">
      <c r="A1155" s="16" t="s">
        <v>27</v>
      </c>
      <c r="B1155" s="13" t="s">
        <v>56</v>
      </c>
      <c r="C1155" s="12">
        <v>45727</v>
      </c>
      <c r="D1155" s="8">
        <v>58.750999999999998</v>
      </c>
      <c r="E1155" s="8">
        <v>17.02</v>
      </c>
      <c r="F1155" s="13"/>
      <c r="G1155" s="13" t="s">
        <v>13</v>
      </c>
      <c r="H1155" s="13" t="s">
        <v>40</v>
      </c>
      <c r="I1155" s="13" t="s">
        <v>57</v>
      </c>
      <c r="J1155" s="17">
        <f t="shared" si="18"/>
        <v>999.94201999999996</v>
      </c>
      <c r="K1155" s="15" t="s">
        <v>16</v>
      </c>
      <c r="L1155" s="13"/>
      <c r="M1155" s="13"/>
      <c r="N1155" s="14"/>
    </row>
    <row r="1156" spans="1:14" x14ac:dyDescent="0.35">
      <c r="A1156" s="16">
        <v>79931510915</v>
      </c>
      <c r="B1156" s="13" t="s">
        <v>39</v>
      </c>
      <c r="C1156" s="12">
        <v>45727</v>
      </c>
      <c r="D1156" s="8">
        <v>13.831</v>
      </c>
      <c r="E1156" s="8">
        <v>144.6</v>
      </c>
      <c r="F1156" s="13"/>
      <c r="G1156" s="13" t="s">
        <v>38</v>
      </c>
      <c r="H1156" s="13" t="s">
        <v>40</v>
      </c>
      <c r="I1156" s="13" t="s">
        <v>41</v>
      </c>
      <c r="J1156" s="17">
        <f t="shared" si="18"/>
        <v>1999.9625999999998</v>
      </c>
      <c r="K1156" s="15" t="s">
        <v>16</v>
      </c>
      <c r="L1156" s="13"/>
      <c r="M1156" s="13"/>
      <c r="N1156" s="14"/>
    </row>
    <row r="1157" spans="1:14" x14ac:dyDescent="0.35">
      <c r="A1157" s="16" t="s">
        <v>17</v>
      </c>
      <c r="B1157" s="13" t="s">
        <v>18</v>
      </c>
      <c r="C1157" s="12">
        <v>45727</v>
      </c>
      <c r="D1157" s="8">
        <v>31.213000000000001</v>
      </c>
      <c r="E1157" s="8">
        <v>160.34399999999999</v>
      </c>
      <c r="F1157" s="13"/>
      <c r="G1157" s="13" t="s">
        <v>13</v>
      </c>
      <c r="H1157" s="13" t="s">
        <v>40</v>
      </c>
      <c r="I1157" s="13" t="s">
        <v>19</v>
      </c>
      <c r="J1157" s="17">
        <f t="shared" si="18"/>
        <v>5004.8172720000002</v>
      </c>
      <c r="K1157" s="15" t="s">
        <v>16</v>
      </c>
      <c r="L1157" s="13"/>
      <c r="M1157" s="13"/>
      <c r="N1157" s="14"/>
    </row>
    <row r="1158" spans="1:14" x14ac:dyDescent="0.35">
      <c r="A1158" s="16" t="s">
        <v>74</v>
      </c>
      <c r="B1158" s="13" t="s">
        <v>42</v>
      </c>
      <c r="C1158" s="12">
        <v>45735</v>
      </c>
      <c r="D1158" s="8">
        <v>17.018000000000001</v>
      </c>
      <c r="E1158" s="8">
        <v>176.27699999999999</v>
      </c>
      <c r="F1158" s="13"/>
      <c r="G1158" s="13" t="s">
        <v>31</v>
      </c>
      <c r="H1158" s="13" t="s">
        <v>40</v>
      </c>
      <c r="I1158" s="13" t="s">
        <v>43</v>
      </c>
      <c r="J1158" s="17">
        <f t="shared" si="18"/>
        <v>2999.8819859999999</v>
      </c>
      <c r="K1158" s="15" t="s">
        <v>32</v>
      </c>
      <c r="L1158" s="13"/>
      <c r="M1158" s="13"/>
      <c r="N1158" s="14"/>
    </row>
    <row r="1159" spans="1:14" x14ac:dyDescent="0.35">
      <c r="A1159" s="16" t="s">
        <v>49</v>
      </c>
      <c r="B1159" s="13" t="s">
        <v>39</v>
      </c>
      <c r="C1159" s="12">
        <v>45735</v>
      </c>
      <c r="D1159" s="8">
        <v>16.725000000000001</v>
      </c>
      <c r="E1159" s="8">
        <v>149.46899999999999</v>
      </c>
      <c r="F1159" s="13"/>
      <c r="G1159" s="13" t="s">
        <v>31</v>
      </c>
      <c r="H1159" s="13" t="s">
        <v>40</v>
      </c>
      <c r="I1159" s="13" t="s">
        <v>41</v>
      </c>
      <c r="J1159" s="17">
        <f t="shared" si="18"/>
        <v>2499.869025</v>
      </c>
      <c r="K1159" s="15" t="s">
        <v>32</v>
      </c>
      <c r="L1159" s="13"/>
      <c r="M1159" s="13"/>
      <c r="N1159" s="14"/>
    </row>
    <row r="1160" spans="1:14" x14ac:dyDescent="0.35">
      <c r="A1160" s="16">
        <v>79931510915</v>
      </c>
      <c r="B1160" s="13" t="s">
        <v>39</v>
      </c>
      <c r="C1160" s="12">
        <v>45740</v>
      </c>
      <c r="D1160" s="8">
        <v>19.603999999999999</v>
      </c>
      <c r="E1160" s="8">
        <v>153.023</v>
      </c>
      <c r="F1160" s="13"/>
      <c r="G1160" s="13" t="s">
        <v>38</v>
      </c>
      <c r="H1160" s="13" t="s">
        <v>40</v>
      </c>
      <c r="I1160" s="13" t="s">
        <v>41</v>
      </c>
      <c r="J1160" s="17">
        <f t="shared" si="18"/>
        <v>2999.8628919999996</v>
      </c>
      <c r="K1160" s="15" t="s">
        <v>16</v>
      </c>
      <c r="L1160" s="13"/>
      <c r="M1160" s="13"/>
      <c r="N1160" s="14"/>
    </row>
    <row r="1161" spans="1:14" x14ac:dyDescent="0.35">
      <c r="A1161" s="16" t="s">
        <v>65</v>
      </c>
      <c r="B1161" s="13" t="s">
        <v>54</v>
      </c>
      <c r="C1161" s="12">
        <v>45741</v>
      </c>
      <c r="D1161" s="8">
        <v>109.63</v>
      </c>
      <c r="E1161" s="8">
        <v>45.606000000000002</v>
      </c>
      <c r="F1161" s="13"/>
      <c r="G1161" s="13" t="s">
        <v>38</v>
      </c>
      <c r="H1161" s="13" t="s">
        <v>66</v>
      </c>
      <c r="I1161" s="13" t="s">
        <v>55</v>
      </c>
      <c r="J1161" s="17">
        <f t="shared" si="18"/>
        <v>4999.7857800000002</v>
      </c>
      <c r="K1161" s="15" t="s">
        <v>16</v>
      </c>
      <c r="L1161" s="13"/>
      <c r="M1161" s="13"/>
      <c r="N1161" s="14"/>
    </row>
    <row r="1162" spans="1:14" x14ac:dyDescent="0.35">
      <c r="A1162" s="16" t="s">
        <v>67</v>
      </c>
      <c r="B1162" s="13" t="s">
        <v>54</v>
      </c>
      <c r="C1162" s="12">
        <v>45741</v>
      </c>
      <c r="D1162" s="8">
        <v>45.606000000000002</v>
      </c>
      <c r="E1162" s="8">
        <v>109.63</v>
      </c>
      <c r="F1162" s="13"/>
      <c r="G1162" s="13" t="s">
        <v>38</v>
      </c>
      <c r="H1162" s="13" t="s">
        <v>68</v>
      </c>
      <c r="I1162" s="13" t="s">
        <v>55</v>
      </c>
      <c r="J1162" s="17">
        <f t="shared" si="18"/>
        <v>4999.7857800000002</v>
      </c>
      <c r="K1162" s="15" t="s">
        <v>16</v>
      </c>
      <c r="L1162" s="13"/>
      <c r="M1162" s="13"/>
      <c r="N1162" s="14"/>
    </row>
    <row r="1163" spans="1:14" x14ac:dyDescent="0.35">
      <c r="A1163" s="16">
        <v>79944037504</v>
      </c>
      <c r="B1163" s="13" t="s">
        <v>39</v>
      </c>
      <c r="C1163" s="12">
        <v>45741</v>
      </c>
      <c r="D1163" s="8">
        <v>32.954999999999998</v>
      </c>
      <c r="E1163" s="8">
        <v>151.86600000000001</v>
      </c>
      <c r="F1163" s="13"/>
      <c r="G1163" s="13" t="s">
        <v>38</v>
      </c>
      <c r="H1163" s="13" t="s">
        <v>40</v>
      </c>
      <c r="I1163" s="13" t="s">
        <v>41</v>
      </c>
      <c r="J1163" s="17">
        <f t="shared" si="18"/>
        <v>5004.7440299999998</v>
      </c>
      <c r="K1163" s="15" t="s">
        <v>16</v>
      </c>
      <c r="L1163" s="13"/>
      <c r="M1163" s="13"/>
      <c r="N1163" s="14"/>
    </row>
    <row r="1164" spans="1:14" x14ac:dyDescent="0.35">
      <c r="A1164" s="16" t="s">
        <v>27</v>
      </c>
      <c r="B1164" s="13" t="s">
        <v>71</v>
      </c>
      <c r="C1164" s="12">
        <v>45748</v>
      </c>
      <c r="D1164" s="8">
        <v>1594.5519999999999</v>
      </c>
      <c r="E1164" s="8">
        <v>37.630000000000003</v>
      </c>
      <c r="F1164" s="13"/>
      <c r="G1164" s="13" t="s">
        <v>13</v>
      </c>
      <c r="H1164" s="13" t="s">
        <v>72</v>
      </c>
      <c r="I1164" s="13" t="s">
        <v>73</v>
      </c>
      <c r="J1164" s="17">
        <f t="shared" si="18"/>
        <v>60002.991759999997</v>
      </c>
      <c r="K1164" s="15" t="s">
        <v>16</v>
      </c>
      <c r="L1164" s="13"/>
      <c r="M1164" s="13"/>
      <c r="N1164" s="14"/>
    </row>
    <row r="1165" spans="1:14" x14ac:dyDescent="0.35">
      <c r="A1165" s="16" t="s">
        <v>48</v>
      </c>
      <c r="B1165" s="13" t="s">
        <v>39</v>
      </c>
      <c r="C1165" s="12">
        <v>45748</v>
      </c>
      <c r="D1165" s="8">
        <v>16.434000000000001</v>
      </c>
      <c r="E1165" s="8">
        <v>152.113</v>
      </c>
      <c r="F1165" s="13"/>
      <c r="G1165" s="13" t="s">
        <v>38</v>
      </c>
      <c r="H1165" s="13" t="s">
        <v>40</v>
      </c>
      <c r="I1165" s="13" t="s">
        <v>41</v>
      </c>
      <c r="J1165" s="17">
        <f t="shared" si="18"/>
        <v>2499.8250419999999</v>
      </c>
      <c r="K1165" s="15" t="s">
        <v>16</v>
      </c>
      <c r="L1165" s="13"/>
      <c r="M1165" s="13"/>
      <c r="N1165" s="14"/>
    </row>
    <row r="1166" spans="1:14" x14ac:dyDescent="0.35">
      <c r="A1166" s="16" t="s">
        <v>27</v>
      </c>
      <c r="B1166" s="13" t="s">
        <v>71</v>
      </c>
      <c r="C1166" s="12">
        <v>45749</v>
      </c>
      <c r="D1166" s="8">
        <v>1316.4169999999999</v>
      </c>
      <c r="E1166" s="8">
        <v>37.979999999999997</v>
      </c>
      <c r="F1166" s="13"/>
      <c r="G1166" s="13" t="s">
        <v>13</v>
      </c>
      <c r="H1166" s="13" t="s">
        <v>72</v>
      </c>
      <c r="I1166" s="13" t="s">
        <v>73</v>
      </c>
      <c r="J1166" s="17">
        <f t="shared" si="18"/>
        <v>49997.51765999999</v>
      </c>
      <c r="K1166" s="15" t="s">
        <v>16</v>
      </c>
      <c r="L1166" s="13"/>
      <c r="M1166" s="13"/>
      <c r="N1166" s="14"/>
    </row>
    <row r="1167" spans="1:14" x14ac:dyDescent="0.35">
      <c r="A1167" s="16" t="s">
        <v>48</v>
      </c>
      <c r="B1167" s="13" t="s">
        <v>39</v>
      </c>
      <c r="C1167" s="12">
        <v>45754</v>
      </c>
      <c r="D1167" s="8">
        <v>17.155000000000001</v>
      </c>
      <c r="E1167" s="8">
        <v>146.01400000000001</v>
      </c>
      <c r="F1167" s="13"/>
      <c r="G1167" s="13" t="s">
        <v>38</v>
      </c>
      <c r="H1167" s="13" t="s">
        <v>40</v>
      </c>
      <c r="I1167" s="13" t="s">
        <v>41</v>
      </c>
      <c r="J1167" s="17">
        <f t="shared" si="18"/>
        <v>2504.8701700000001</v>
      </c>
      <c r="K1167" s="15" t="s">
        <v>16</v>
      </c>
      <c r="L1167" s="13"/>
      <c r="M1167" s="13"/>
      <c r="N1167" s="14"/>
    </row>
    <row r="1168" spans="1:14" x14ac:dyDescent="0.35">
      <c r="A1168" s="16" t="s">
        <v>48</v>
      </c>
      <c r="B1168" s="13" t="s">
        <v>39</v>
      </c>
      <c r="C1168" s="12">
        <v>45754</v>
      </c>
      <c r="D1168" s="8">
        <v>68.483000000000004</v>
      </c>
      <c r="E1168" s="8">
        <v>146.01400000000001</v>
      </c>
      <c r="F1168" s="13"/>
      <c r="G1168" s="13" t="s">
        <v>38</v>
      </c>
      <c r="H1168" s="13" t="s">
        <v>40</v>
      </c>
      <c r="I1168" s="13" t="s">
        <v>41</v>
      </c>
      <c r="J1168" s="17">
        <f t="shared" si="18"/>
        <v>9999.4767620000021</v>
      </c>
      <c r="K1168" s="15" t="s">
        <v>16</v>
      </c>
      <c r="L1168" s="13"/>
      <c r="M1168" s="13"/>
      <c r="N1168" s="14"/>
    </row>
    <row r="1169" spans="1:14" x14ac:dyDescent="0.35">
      <c r="A1169" s="16" t="s">
        <v>53</v>
      </c>
      <c r="B1169" s="13" t="s">
        <v>54</v>
      </c>
      <c r="C1169" s="12">
        <v>45758</v>
      </c>
      <c r="D1169" s="8">
        <v>27.04</v>
      </c>
      <c r="E1169" s="8">
        <v>110.94</v>
      </c>
      <c r="F1169" s="13"/>
      <c r="G1169" s="13" t="s">
        <v>38</v>
      </c>
      <c r="H1169" s="13" t="s">
        <v>40</v>
      </c>
      <c r="I1169" s="13" t="s">
        <v>55</v>
      </c>
      <c r="J1169" s="17">
        <f t="shared" si="18"/>
        <v>2999.8175999999999</v>
      </c>
      <c r="K1169" s="15" t="s">
        <v>16</v>
      </c>
      <c r="L1169" s="13"/>
      <c r="M1169" s="13"/>
      <c r="N1169" s="14"/>
    </row>
    <row r="1170" spans="1:14" x14ac:dyDescent="0.35">
      <c r="A1170" s="16" t="s">
        <v>27</v>
      </c>
      <c r="B1170" s="13" t="s">
        <v>56</v>
      </c>
      <c r="C1170" s="12">
        <v>45758</v>
      </c>
      <c r="D1170" s="8">
        <v>55.677</v>
      </c>
      <c r="E1170" s="8">
        <v>17.96</v>
      </c>
      <c r="F1170" s="13"/>
      <c r="G1170" s="13" t="s">
        <v>13</v>
      </c>
      <c r="H1170" s="13" t="s">
        <v>40</v>
      </c>
      <c r="I1170" s="13" t="s">
        <v>57</v>
      </c>
      <c r="J1170" s="17">
        <f t="shared" si="18"/>
        <v>999.95892000000003</v>
      </c>
      <c r="K1170" s="15" t="s">
        <v>16</v>
      </c>
      <c r="L1170" s="13"/>
      <c r="M1170" s="13"/>
      <c r="N1170" s="14"/>
    </row>
    <row r="1171" spans="1:14" x14ac:dyDescent="0.35">
      <c r="A1171" s="16">
        <v>79931510915</v>
      </c>
      <c r="B1171" s="13" t="s">
        <v>39</v>
      </c>
      <c r="C1171" s="12">
        <v>45758</v>
      </c>
      <c r="D1171" s="8">
        <v>13.215999999999999</v>
      </c>
      <c r="E1171" s="8">
        <v>151.32300000000001</v>
      </c>
      <c r="F1171" s="13"/>
      <c r="G1171" s="13" t="s">
        <v>38</v>
      </c>
      <c r="H1171" s="13" t="s">
        <v>40</v>
      </c>
      <c r="I1171" s="13" t="s">
        <v>41</v>
      </c>
      <c r="J1171" s="17">
        <f t="shared" si="18"/>
        <v>1999.8847679999999</v>
      </c>
      <c r="K1171" s="15" t="s">
        <v>16</v>
      </c>
      <c r="L1171" s="13"/>
      <c r="M1171" s="13"/>
      <c r="N1171" s="14"/>
    </row>
    <row r="1172" spans="1:14" x14ac:dyDescent="0.35">
      <c r="A1172" s="16" t="s">
        <v>49</v>
      </c>
      <c r="B1172" s="13" t="s">
        <v>39</v>
      </c>
      <c r="C1172" s="12">
        <v>45765</v>
      </c>
      <c r="D1172" s="8">
        <v>15.942</v>
      </c>
      <c r="E1172" s="8">
        <v>156.81299999999999</v>
      </c>
      <c r="F1172" s="13"/>
      <c r="G1172" s="13" t="s">
        <v>31</v>
      </c>
      <c r="H1172" s="13" t="s">
        <v>40</v>
      </c>
      <c r="I1172" s="13" t="s">
        <v>41</v>
      </c>
      <c r="J1172" s="17">
        <f t="shared" si="18"/>
        <v>2499.9128459999997</v>
      </c>
      <c r="K1172" s="15" t="s">
        <v>32</v>
      </c>
      <c r="L1172" s="13"/>
      <c r="M1172" s="13"/>
      <c r="N1172" s="14"/>
    </row>
    <row r="1173" spans="1:14" x14ac:dyDescent="0.35">
      <c r="A1173" s="16" t="s">
        <v>74</v>
      </c>
      <c r="B1173" s="13" t="s">
        <v>42</v>
      </c>
      <c r="C1173" s="12">
        <v>45768</v>
      </c>
      <c r="D1173" s="8">
        <v>16.119</v>
      </c>
      <c r="E1173" s="8">
        <v>186.1086</v>
      </c>
      <c r="F1173" s="13"/>
      <c r="G1173" s="13" t="s">
        <v>31</v>
      </c>
      <c r="H1173" s="13" t="s">
        <v>40</v>
      </c>
      <c r="I1173" s="13" t="s">
        <v>43</v>
      </c>
      <c r="J1173" s="17">
        <f t="shared" si="18"/>
        <v>2999.8845234</v>
      </c>
      <c r="K1173" s="15" t="s">
        <v>32</v>
      </c>
      <c r="L1173" s="13"/>
      <c r="M1173" s="13"/>
      <c r="N1173" s="14"/>
    </row>
    <row r="1174" spans="1:14" x14ac:dyDescent="0.35">
      <c r="A1174" s="16">
        <v>79931510915</v>
      </c>
      <c r="B1174" s="13" t="s">
        <v>39</v>
      </c>
      <c r="C1174" s="12">
        <v>45769</v>
      </c>
      <c r="D1174" s="8">
        <v>18.936</v>
      </c>
      <c r="E1174" s="8">
        <v>158.422</v>
      </c>
      <c r="F1174" s="13"/>
      <c r="G1174" s="13" t="s">
        <v>38</v>
      </c>
      <c r="H1174" s="13" t="s">
        <v>40</v>
      </c>
      <c r="I1174" s="13" t="s">
        <v>41</v>
      </c>
      <c r="J1174" s="17">
        <f t="shared" si="18"/>
        <v>2999.8789919999999</v>
      </c>
      <c r="K1174" s="15" t="s">
        <v>16</v>
      </c>
      <c r="L1174" s="13"/>
      <c r="M1174" s="13"/>
      <c r="N1174" s="14"/>
    </row>
    <row r="1175" spans="1:14" x14ac:dyDescent="0.35">
      <c r="A1175" s="16" t="s">
        <v>65</v>
      </c>
      <c r="B1175" s="13" t="s">
        <v>54</v>
      </c>
      <c r="C1175" s="12">
        <v>45772</v>
      </c>
      <c r="D1175" s="8">
        <v>113.18</v>
      </c>
      <c r="E1175" s="8">
        <v>44.174999999999997</v>
      </c>
      <c r="F1175" s="13"/>
      <c r="G1175" s="13" t="s">
        <v>38</v>
      </c>
      <c r="H1175" s="13" t="s">
        <v>66</v>
      </c>
      <c r="I1175" s="13" t="s">
        <v>55</v>
      </c>
      <c r="J1175" s="17">
        <f t="shared" si="18"/>
        <v>4999.7264999999998</v>
      </c>
      <c r="K1175" s="15" t="s">
        <v>16</v>
      </c>
      <c r="L1175" s="13"/>
      <c r="M1175" s="13"/>
      <c r="N1175" s="14"/>
    </row>
    <row r="1176" spans="1:14" x14ac:dyDescent="0.35">
      <c r="A1176" s="16" t="s">
        <v>67</v>
      </c>
      <c r="B1176" s="13" t="s">
        <v>54</v>
      </c>
      <c r="C1176" s="12">
        <v>45772</v>
      </c>
      <c r="D1176" s="8">
        <v>44.174999999999997</v>
      </c>
      <c r="E1176" s="8">
        <v>113.18</v>
      </c>
      <c r="F1176" s="13"/>
      <c r="G1176" s="13" t="s">
        <v>38</v>
      </c>
      <c r="H1176" s="13" t="s">
        <v>68</v>
      </c>
      <c r="I1176" s="13" t="s">
        <v>55</v>
      </c>
      <c r="J1176" s="17">
        <f t="shared" si="18"/>
        <v>4999.7264999999998</v>
      </c>
      <c r="K1176" s="15" t="s">
        <v>16</v>
      </c>
      <c r="L1176" s="13"/>
      <c r="M1176" s="13"/>
      <c r="N1176" s="14"/>
    </row>
    <row r="1177" spans="1:14" x14ac:dyDescent="0.35">
      <c r="A1177" s="16">
        <v>79944037504</v>
      </c>
      <c r="B1177" s="13" t="s">
        <v>39</v>
      </c>
      <c r="C1177" s="12">
        <v>45772</v>
      </c>
      <c r="D1177" s="8">
        <v>31.748999999999999</v>
      </c>
      <c r="E1177" s="8">
        <v>157.63300000000001</v>
      </c>
      <c r="F1177" s="13"/>
      <c r="G1177" s="13" t="s">
        <v>38</v>
      </c>
      <c r="H1177" s="13" t="s">
        <v>40</v>
      </c>
      <c r="I1177" s="13" t="s">
        <v>41</v>
      </c>
      <c r="J1177" s="17">
        <f t="shared" si="18"/>
        <v>5004.6901170000001</v>
      </c>
      <c r="K1177" s="15" t="s">
        <v>16</v>
      </c>
      <c r="L1177" s="13"/>
      <c r="M1177" s="13"/>
      <c r="N1177" s="14"/>
    </row>
    <row r="1178" spans="1:14" x14ac:dyDescent="0.35">
      <c r="A1178" s="16" t="s">
        <v>48</v>
      </c>
      <c r="B1178" s="13" t="s">
        <v>39</v>
      </c>
      <c r="C1178" s="12">
        <v>45779</v>
      </c>
      <c r="D1178" s="8">
        <v>15.948</v>
      </c>
      <c r="E1178" s="8">
        <v>156.75</v>
      </c>
      <c r="F1178" s="13"/>
      <c r="G1178" s="13" t="s">
        <v>38</v>
      </c>
      <c r="H1178" s="13" t="s">
        <v>40</v>
      </c>
      <c r="I1178" s="13" t="s">
        <v>41</v>
      </c>
      <c r="J1178" s="17">
        <f t="shared" si="18"/>
        <v>2499.8490000000002</v>
      </c>
      <c r="K1178" s="15" t="s">
        <v>16</v>
      </c>
      <c r="L1178" s="13"/>
      <c r="M1178" s="13"/>
      <c r="N1178" s="14"/>
    </row>
    <row r="1179" spans="1:14" x14ac:dyDescent="0.35">
      <c r="A1179" s="16" t="s">
        <v>48</v>
      </c>
      <c r="B1179" s="13" t="s">
        <v>39</v>
      </c>
      <c r="C1179" s="12">
        <v>45782</v>
      </c>
      <c r="D1179" s="8">
        <v>16.050999999999998</v>
      </c>
      <c r="E1179" s="8">
        <v>156.05500000000001</v>
      </c>
      <c r="F1179" s="13"/>
      <c r="G1179" s="13" t="s">
        <v>38</v>
      </c>
      <c r="H1179" s="13" t="s">
        <v>40</v>
      </c>
      <c r="I1179" s="13" t="s">
        <v>41</v>
      </c>
      <c r="J1179" s="17">
        <f t="shared" si="18"/>
        <v>2504.8388049999999</v>
      </c>
      <c r="K1179" s="15" t="s">
        <v>16</v>
      </c>
      <c r="L1179" s="13"/>
      <c r="M1179" s="13"/>
      <c r="N1179" s="14"/>
    </row>
    <row r="1180" spans="1:14" x14ac:dyDescent="0.35">
      <c r="A1180" s="16" t="s">
        <v>48</v>
      </c>
      <c r="B1180" s="13" t="s">
        <v>39</v>
      </c>
      <c r="C1180" s="12">
        <v>45784</v>
      </c>
      <c r="D1180" s="8">
        <v>64.373999999999995</v>
      </c>
      <c r="E1180" s="8">
        <v>155.334</v>
      </c>
      <c r="F1180" s="13"/>
      <c r="G1180" s="13" t="s">
        <v>38</v>
      </c>
      <c r="H1180" s="13" t="s">
        <v>40</v>
      </c>
      <c r="I1180" s="13" t="s">
        <v>41</v>
      </c>
      <c r="J1180" s="17">
        <f t="shared" si="18"/>
        <v>9999.4709160000002</v>
      </c>
      <c r="K1180" s="15" t="s">
        <v>16</v>
      </c>
      <c r="L1180" s="13"/>
      <c r="M1180" s="13"/>
      <c r="N1180" s="14"/>
    </row>
    <row r="1181" spans="1:14" x14ac:dyDescent="0.35">
      <c r="A1181" s="16" t="s">
        <v>53</v>
      </c>
      <c r="B1181" s="13" t="s">
        <v>54</v>
      </c>
      <c r="C1181" s="12">
        <v>45789</v>
      </c>
      <c r="D1181" s="8">
        <v>26.111000000000001</v>
      </c>
      <c r="E1181" s="8">
        <v>114.89</v>
      </c>
      <c r="F1181" s="13"/>
      <c r="G1181" s="13" t="s">
        <v>38</v>
      </c>
      <c r="H1181" s="13" t="s">
        <v>40</v>
      </c>
      <c r="I1181" s="13" t="s">
        <v>55</v>
      </c>
      <c r="J1181" s="17">
        <f t="shared" si="18"/>
        <v>2999.8927899999999</v>
      </c>
      <c r="K1181" s="15" t="s">
        <v>16</v>
      </c>
      <c r="L1181" s="13"/>
      <c r="M1181" s="13"/>
      <c r="N1181" s="14"/>
    </row>
    <row r="1182" spans="1:14" x14ac:dyDescent="0.35">
      <c r="A1182" s="16" t="s">
        <v>27</v>
      </c>
      <c r="B1182" s="13" t="s">
        <v>56</v>
      </c>
      <c r="C1182" s="12">
        <v>45789</v>
      </c>
      <c r="D1182" s="8">
        <v>53.048000000000002</v>
      </c>
      <c r="E1182" s="8">
        <v>18.850000000000001</v>
      </c>
      <c r="F1182" s="13"/>
      <c r="G1182" s="13" t="s">
        <v>13</v>
      </c>
      <c r="H1182" s="13" t="s">
        <v>40</v>
      </c>
      <c r="I1182" s="13" t="s">
        <v>57</v>
      </c>
      <c r="J1182" s="17">
        <f t="shared" si="18"/>
        <v>999.95480000000009</v>
      </c>
      <c r="K1182" s="15" t="s">
        <v>16</v>
      </c>
      <c r="L1182" s="13"/>
      <c r="M1182" s="13"/>
      <c r="N1182" s="14"/>
    </row>
    <row r="1183" spans="1:14" x14ac:dyDescent="0.35">
      <c r="A1183" s="16">
        <v>79931510915</v>
      </c>
      <c r="B1183" s="13" t="s">
        <v>39</v>
      </c>
      <c r="C1183" s="12">
        <v>45789</v>
      </c>
      <c r="D1183" s="8">
        <v>12.536</v>
      </c>
      <c r="E1183" s="8">
        <v>159.53800000000001</v>
      </c>
      <c r="F1183" s="13"/>
      <c r="G1183" s="13" t="s">
        <v>38</v>
      </c>
      <c r="H1183" s="13" t="s">
        <v>40</v>
      </c>
      <c r="I1183" s="13" t="s">
        <v>41</v>
      </c>
      <c r="J1183" s="17">
        <f t="shared" si="18"/>
        <v>1999.9683680000001</v>
      </c>
      <c r="K1183" s="15" t="s">
        <v>16</v>
      </c>
      <c r="L1183" s="13"/>
      <c r="M1183" s="13"/>
      <c r="N1183" s="14"/>
    </row>
    <row r="1184" spans="1:14" x14ac:dyDescent="0.35">
      <c r="A1184" s="16" t="s">
        <v>74</v>
      </c>
      <c r="B1184" s="13" t="s">
        <v>42</v>
      </c>
      <c r="C1184" s="12">
        <v>45796</v>
      </c>
      <c r="D1184" s="8">
        <v>15.624000000000001</v>
      </c>
      <c r="E1184" s="8">
        <v>192.00149999999999</v>
      </c>
      <c r="F1184" s="13"/>
      <c r="G1184" s="13" t="s">
        <v>31</v>
      </c>
      <c r="H1184" s="13" t="s">
        <v>40</v>
      </c>
      <c r="I1184" s="13" t="s">
        <v>43</v>
      </c>
      <c r="J1184" s="17">
        <f t="shared" si="18"/>
        <v>2999.8314359999999</v>
      </c>
      <c r="K1184" s="15" t="s">
        <v>32</v>
      </c>
      <c r="L1184" s="13"/>
      <c r="M1184" s="13"/>
      <c r="N1184" s="14"/>
    </row>
    <row r="1185" spans="1:14" x14ac:dyDescent="0.35">
      <c r="A1185" s="16" t="s">
        <v>49</v>
      </c>
      <c r="B1185" s="13" t="s">
        <v>39</v>
      </c>
      <c r="C1185" s="12">
        <v>45796</v>
      </c>
      <c r="D1185" s="8">
        <v>15.307</v>
      </c>
      <c r="E1185" s="8">
        <v>163.31100000000001</v>
      </c>
      <c r="F1185" s="13"/>
      <c r="G1185" s="13" t="s">
        <v>31</v>
      </c>
      <c r="H1185" s="13" t="s">
        <v>40</v>
      </c>
      <c r="I1185" s="13" t="s">
        <v>41</v>
      </c>
      <c r="J1185" s="17">
        <f t="shared" si="18"/>
        <v>2499.801477</v>
      </c>
      <c r="K1185" s="15" t="s">
        <v>32</v>
      </c>
      <c r="L1185" s="13"/>
      <c r="M1185" s="13"/>
      <c r="N1185" s="14"/>
    </row>
    <row r="1186" spans="1:14" x14ac:dyDescent="0.35">
      <c r="A1186" s="16">
        <v>79931510915</v>
      </c>
      <c r="B1186" s="13" t="s">
        <v>39</v>
      </c>
      <c r="C1186" s="12">
        <v>45799</v>
      </c>
      <c r="D1186" s="8">
        <v>18.384</v>
      </c>
      <c r="E1186" s="8">
        <v>163.178</v>
      </c>
      <c r="F1186" s="13"/>
      <c r="G1186" s="13" t="s">
        <v>38</v>
      </c>
      <c r="H1186" s="13" t="s">
        <v>40</v>
      </c>
      <c r="I1186" s="13" t="s">
        <v>41</v>
      </c>
      <c r="J1186" s="17">
        <f t="shared" si="18"/>
        <v>2999.8643520000001</v>
      </c>
      <c r="K1186" s="15" t="s">
        <v>16</v>
      </c>
      <c r="L1186" s="13"/>
      <c r="M1186" s="13"/>
      <c r="N1186" s="14"/>
    </row>
    <row r="1187" spans="1:14" x14ac:dyDescent="0.35">
      <c r="A1187" s="16" t="s">
        <v>65</v>
      </c>
      <c r="B1187" s="13" t="s">
        <v>54</v>
      </c>
      <c r="C1187" s="12">
        <v>45803</v>
      </c>
      <c r="D1187" s="8">
        <v>118.88</v>
      </c>
      <c r="E1187" s="8">
        <v>42.057000000000002</v>
      </c>
      <c r="F1187" s="13"/>
      <c r="G1187" s="13" t="s">
        <v>38</v>
      </c>
      <c r="H1187" s="13" t="s">
        <v>66</v>
      </c>
      <c r="I1187" s="13" t="s">
        <v>55</v>
      </c>
      <c r="J1187" s="17">
        <f t="shared" si="18"/>
        <v>4999.7361600000004</v>
      </c>
      <c r="K1187" s="15" t="s">
        <v>16</v>
      </c>
      <c r="L1187" s="13"/>
      <c r="M1187" s="13"/>
      <c r="N1187" s="14"/>
    </row>
    <row r="1188" spans="1:14" x14ac:dyDescent="0.35">
      <c r="A1188" s="16" t="s">
        <v>67</v>
      </c>
      <c r="B1188" s="13" t="s">
        <v>54</v>
      </c>
      <c r="C1188" s="12">
        <v>45803</v>
      </c>
      <c r="D1188" s="8">
        <v>42.057000000000002</v>
      </c>
      <c r="E1188" s="8">
        <v>118.88</v>
      </c>
      <c r="F1188" s="13"/>
      <c r="G1188" s="13" t="s">
        <v>38</v>
      </c>
      <c r="H1188" s="13" t="s">
        <v>68</v>
      </c>
      <c r="I1188" s="13" t="s">
        <v>55</v>
      </c>
      <c r="J1188" s="17">
        <f t="shared" si="18"/>
        <v>4999.7361600000004</v>
      </c>
      <c r="K1188" s="15" t="s">
        <v>16</v>
      </c>
      <c r="L1188" s="13"/>
      <c r="M1188" s="13"/>
      <c r="N1188" s="14"/>
    </row>
    <row r="1189" spans="1:14" x14ac:dyDescent="0.35">
      <c r="A1189" s="16">
        <v>79944037504</v>
      </c>
      <c r="B1189" s="13" t="s">
        <v>39</v>
      </c>
      <c r="C1189" s="12">
        <v>45803</v>
      </c>
      <c r="D1189" s="8">
        <v>30.626000000000001</v>
      </c>
      <c r="E1189" s="8">
        <v>163.41300000000001</v>
      </c>
      <c r="F1189" s="13"/>
      <c r="G1189" s="13" t="s">
        <v>38</v>
      </c>
      <c r="H1189" s="13" t="s">
        <v>40</v>
      </c>
      <c r="I1189" s="13" t="s">
        <v>41</v>
      </c>
      <c r="J1189" s="17">
        <f t="shared" si="18"/>
        <v>5004.6865380000008</v>
      </c>
      <c r="K1189" s="15" t="s">
        <v>16</v>
      </c>
      <c r="L1189" s="13"/>
      <c r="M1189" s="13"/>
      <c r="N1189" s="14"/>
    </row>
    <row r="1190" spans="1:14" x14ac:dyDescent="0.35">
      <c r="A1190" s="16" t="s">
        <v>48</v>
      </c>
      <c r="B1190" s="13" t="s">
        <v>39</v>
      </c>
      <c r="C1190" s="12">
        <v>45810</v>
      </c>
      <c r="D1190" s="8">
        <v>15.295999999999999</v>
      </c>
      <c r="E1190" s="8">
        <v>163.43199999999999</v>
      </c>
      <c r="F1190" s="13"/>
      <c r="G1190" s="13" t="s">
        <v>38</v>
      </c>
      <c r="H1190" s="13" t="s">
        <v>40</v>
      </c>
      <c r="I1190" s="13" t="s">
        <v>41</v>
      </c>
      <c r="J1190" s="17">
        <f t="shared" si="18"/>
        <v>2499.8558719999996</v>
      </c>
      <c r="K1190" s="15" t="s">
        <v>16</v>
      </c>
      <c r="L1190" s="13"/>
      <c r="M1190" s="13"/>
      <c r="N1190" s="14"/>
    </row>
    <row r="1191" spans="1:14" x14ac:dyDescent="0.35">
      <c r="A1191" s="16" t="s">
        <v>48</v>
      </c>
      <c r="B1191" s="13" t="s">
        <v>39</v>
      </c>
      <c r="C1191" s="12">
        <v>45813</v>
      </c>
      <c r="D1191" s="8">
        <v>14.99</v>
      </c>
      <c r="E1191" s="8">
        <v>167.10300000000001</v>
      </c>
      <c r="F1191" s="13"/>
      <c r="G1191" s="13" t="s">
        <v>38</v>
      </c>
      <c r="H1191" s="13" t="s">
        <v>40</v>
      </c>
      <c r="I1191" s="13" t="s">
        <v>41</v>
      </c>
      <c r="J1191" s="17">
        <f t="shared" si="18"/>
        <v>2504.8739700000001</v>
      </c>
      <c r="K1191" s="15" t="s">
        <v>16</v>
      </c>
      <c r="L1191" s="13"/>
      <c r="M1191" s="13"/>
      <c r="N1191" s="14"/>
    </row>
    <row r="1192" spans="1:14" x14ac:dyDescent="0.35">
      <c r="A1192" s="16" t="s">
        <v>48</v>
      </c>
      <c r="B1192" s="13" t="s">
        <v>39</v>
      </c>
      <c r="C1192" s="12">
        <v>45817</v>
      </c>
      <c r="D1192" s="8">
        <v>59.280999999999999</v>
      </c>
      <c r="E1192" s="8">
        <v>168.679</v>
      </c>
      <c r="F1192" s="13"/>
      <c r="G1192" s="13" t="s">
        <v>38</v>
      </c>
      <c r="H1192" s="13" t="s">
        <v>40</v>
      </c>
      <c r="I1192" s="13" t="s">
        <v>41</v>
      </c>
      <c r="J1192" s="17">
        <f t="shared" si="18"/>
        <v>9999.4597990000002</v>
      </c>
      <c r="K1192" s="15" t="s">
        <v>16</v>
      </c>
      <c r="L1192" s="13"/>
      <c r="M1192" s="13"/>
      <c r="N1192" s="14"/>
    </row>
    <row r="1193" spans="1:14" x14ac:dyDescent="0.35">
      <c r="A1193" s="16" t="s">
        <v>53</v>
      </c>
      <c r="B1193" s="13" t="s">
        <v>54</v>
      </c>
      <c r="C1193" s="12">
        <v>45819</v>
      </c>
      <c r="D1193" s="8">
        <v>24.620999999999999</v>
      </c>
      <c r="E1193" s="8">
        <v>121.84</v>
      </c>
      <c r="F1193" s="13"/>
      <c r="G1193" s="13" t="s">
        <v>38</v>
      </c>
      <c r="H1193" s="13" t="s">
        <v>40</v>
      </c>
      <c r="I1193" s="13" t="s">
        <v>55</v>
      </c>
      <c r="J1193" s="17">
        <f t="shared" si="18"/>
        <v>2999.8226399999999</v>
      </c>
      <c r="K1193" s="15" t="s">
        <v>16</v>
      </c>
      <c r="L1193" s="13"/>
      <c r="M1193" s="13"/>
      <c r="N1193" s="14"/>
    </row>
    <row r="1194" spans="1:14" x14ac:dyDescent="0.35">
      <c r="A1194" s="16" t="s">
        <v>27</v>
      </c>
      <c r="B1194" s="13" t="s">
        <v>56</v>
      </c>
      <c r="C1194" s="12">
        <v>45819</v>
      </c>
      <c r="D1194" s="8">
        <v>51.704000000000001</v>
      </c>
      <c r="E1194" s="8">
        <v>19.34</v>
      </c>
      <c r="F1194" s="13"/>
      <c r="G1194" s="13" t="s">
        <v>13</v>
      </c>
      <c r="H1194" s="13" t="s">
        <v>40</v>
      </c>
      <c r="I1194" s="13" t="s">
        <v>57</v>
      </c>
      <c r="J1194" s="17">
        <f t="shared" si="18"/>
        <v>999.95536000000004</v>
      </c>
      <c r="K1194" s="15" t="s">
        <v>16</v>
      </c>
      <c r="L1194" s="13"/>
      <c r="M1194" s="13"/>
      <c r="N1194" s="14"/>
    </row>
    <row r="1195" spans="1:14" x14ac:dyDescent="0.35">
      <c r="A1195" s="16">
        <v>79931510915</v>
      </c>
      <c r="B1195" s="13" t="s">
        <v>39</v>
      </c>
      <c r="C1195" s="12">
        <v>45819</v>
      </c>
      <c r="D1195" s="8">
        <v>12.01</v>
      </c>
      <c r="E1195" s="8">
        <v>166.51599999999999</v>
      </c>
      <c r="F1195" s="13"/>
      <c r="G1195" s="13" t="s">
        <v>38</v>
      </c>
      <c r="H1195" s="13" t="s">
        <v>40</v>
      </c>
      <c r="I1195" s="13" t="s">
        <v>41</v>
      </c>
      <c r="J1195" s="17">
        <f t="shared" si="18"/>
        <v>1999.8571599999998</v>
      </c>
      <c r="K1195" s="15" t="s">
        <v>16</v>
      </c>
      <c r="L1195" s="13"/>
      <c r="M1195" s="13"/>
      <c r="N1195" s="14"/>
    </row>
    <row r="1196" spans="1:14" x14ac:dyDescent="0.35">
      <c r="A1196" s="16" t="s">
        <v>49</v>
      </c>
      <c r="B1196" s="13" t="s">
        <v>39</v>
      </c>
      <c r="C1196" s="12">
        <v>45824</v>
      </c>
      <c r="D1196" s="8">
        <v>15.182</v>
      </c>
      <c r="E1196" s="8">
        <v>164.65899999999999</v>
      </c>
      <c r="F1196" s="13"/>
      <c r="G1196" s="13" t="s">
        <v>31</v>
      </c>
      <c r="H1196" s="13" t="s">
        <v>40</v>
      </c>
      <c r="I1196" s="13" t="s">
        <v>41</v>
      </c>
      <c r="J1196" s="17">
        <f t="shared" si="18"/>
        <v>2499.852938</v>
      </c>
      <c r="K1196" s="15" t="s">
        <v>32</v>
      </c>
      <c r="L1196" s="13"/>
      <c r="M1196" s="13"/>
      <c r="N1196" s="14"/>
    </row>
    <row r="1197" spans="1:14" x14ac:dyDescent="0.35">
      <c r="A1197" s="16" t="s">
        <v>74</v>
      </c>
      <c r="B1197" s="13" t="s">
        <v>42</v>
      </c>
      <c r="C1197" s="12">
        <v>45827</v>
      </c>
      <c r="D1197" s="8">
        <v>15.612</v>
      </c>
      <c r="E1197" s="8">
        <v>192.15350000000001</v>
      </c>
      <c r="F1197" s="13"/>
      <c r="G1197" s="13" t="s">
        <v>31</v>
      </c>
      <c r="H1197" s="13" t="s">
        <v>40</v>
      </c>
      <c r="I1197" s="13" t="s">
        <v>43</v>
      </c>
      <c r="J1197" s="17">
        <f t="shared" si="18"/>
        <v>2999.9004420000001</v>
      </c>
      <c r="K1197" s="15" t="s">
        <v>32</v>
      </c>
      <c r="L1197" s="13"/>
      <c r="M1197" s="13"/>
      <c r="N1197" s="14"/>
    </row>
    <row r="1198" spans="1:14" x14ac:dyDescent="0.35">
      <c r="A1198" s="16" t="s">
        <v>65</v>
      </c>
      <c r="B1198" s="13" t="s">
        <v>54</v>
      </c>
      <c r="C1198" s="12">
        <v>45833</v>
      </c>
      <c r="D1198" s="8">
        <v>124.01</v>
      </c>
      <c r="E1198" s="8">
        <v>40.317</v>
      </c>
      <c r="F1198" s="13"/>
      <c r="G1198" s="13" t="s">
        <v>38</v>
      </c>
      <c r="H1198" s="13" t="s">
        <v>66</v>
      </c>
      <c r="I1198" s="13" t="s">
        <v>55</v>
      </c>
      <c r="J1198" s="17">
        <f t="shared" si="18"/>
        <v>4999.7111700000005</v>
      </c>
      <c r="K1198" s="15" t="s">
        <v>16</v>
      </c>
      <c r="L1198" s="13"/>
      <c r="M1198" s="13"/>
      <c r="N1198" s="14"/>
    </row>
    <row r="1199" spans="1:14" x14ac:dyDescent="0.35">
      <c r="A1199" s="16" t="s">
        <v>67</v>
      </c>
      <c r="B1199" s="13" t="s">
        <v>54</v>
      </c>
      <c r="C1199" s="12">
        <v>45833</v>
      </c>
      <c r="D1199" s="8">
        <v>40.317</v>
      </c>
      <c r="E1199" s="8">
        <v>124.01</v>
      </c>
      <c r="F1199" s="13"/>
      <c r="G1199" s="13" t="s">
        <v>38</v>
      </c>
      <c r="H1199" s="13" t="s">
        <v>68</v>
      </c>
      <c r="I1199" s="13" t="s">
        <v>55</v>
      </c>
      <c r="J1199" s="17">
        <f t="shared" si="18"/>
        <v>4999.7111700000005</v>
      </c>
      <c r="K1199" s="15" t="s">
        <v>16</v>
      </c>
      <c r="L1199" s="13"/>
      <c r="M1199" s="13"/>
      <c r="N1199" s="14"/>
    </row>
    <row r="1200" spans="1:14" x14ac:dyDescent="0.35">
      <c r="A1200" s="16" t="s">
        <v>81</v>
      </c>
      <c r="B1200" s="13" t="s">
        <v>25</v>
      </c>
      <c r="C1200" s="12">
        <v>45836</v>
      </c>
      <c r="D1200" s="8">
        <v>53.664999999999999</v>
      </c>
      <c r="E1200" s="8">
        <v>93.165999999999997</v>
      </c>
      <c r="F1200" s="13"/>
      <c r="G1200" s="13" t="s">
        <v>82</v>
      </c>
      <c r="H1200" s="13" t="s">
        <v>83</v>
      </c>
      <c r="I1200" s="13" t="s">
        <v>26</v>
      </c>
      <c r="J1200" s="17">
        <f t="shared" si="18"/>
        <v>4999.7533899999999</v>
      </c>
      <c r="K1200" s="15" t="s">
        <v>16</v>
      </c>
      <c r="L1200" s="13"/>
      <c r="M1200" s="13"/>
      <c r="N1200" s="14"/>
    </row>
    <row r="1201" spans="1:14" x14ac:dyDescent="0.35">
      <c r="A1201" s="16" t="s">
        <v>81</v>
      </c>
      <c r="B1201" s="13" t="s">
        <v>25</v>
      </c>
      <c r="C1201" s="12">
        <v>45840</v>
      </c>
      <c r="D1201" s="8">
        <v>486.36399999999998</v>
      </c>
      <c r="E1201" s="8">
        <v>92.539299999999997</v>
      </c>
      <c r="F1201" s="13"/>
      <c r="G1201" s="13" t="s">
        <v>82</v>
      </c>
      <c r="H1201" s="13" t="s">
        <v>83</v>
      </c>
      <c r="I1201" s="13" t="s">
        <v>26</v>
      </c>
      <c r="J1201" s="17">
        <f t="shared" si="18"/>
        <v>45007.784105199993</v>
      </c>
      <c r="K1201" s="15" t="s">
        <v>16</v>
      </c>
      <c r="L1201" s="13"/>
      <c r="M1201" s="13"/>
      <c r="N1201" s="14"/>
    </row>
    <row r="1202" spans="1:14" x14ac:dyDescent="0.35">
      <c r="A1202" s="16" t="s">
        <v>81</v>
      </c>
      <c r="B1202" s="13" t="s">
        <v>25</v>
      </c>
      <c r="C1202" s="12">
        <v>45841</v>
      </c>
      <c r="D1202" s="8">
        <v>1081.6579999999999</v>
      </c>
      <c r="E1202" s="8">
        <v>92.455299999999994</v>
      </c>
      <c r="F1202" s="13"/>
      <c r="G1202" s="13" t="s">
        <v>82</v>
      </c>
      <c r="H1202" s="13" t="s">
        <v>83</v>
      </c>
      <c r="I1202" s="13" t="s">
        <v>26</v>
      </c>
      <c r="J1202" s="17">
        <f t="shared" si="18"/>
        <v>100005.01488739999</v>
      </c>
      <c r="K1202" s="15" t="s">
        <v>16</v>
      </c>
      <c r="L1202" s="13"/>
      <c r="M1202" s="13"/>
      <c r="N1202" s="14"/>
    </row>
    <row r="1203" spans="1:14" x14ac:dyDescent="0.35">
      <c r="A1203" s="16" t="s">
        <v>81</v>
      </c>
      <c r="B1203" s="13" t="s">
        <v>25</v>
      </c>
      <c r="C1203" s="12">
        <v>45842</v>
      </c>
      <c r="D1203" s="8">
        <v>2105.5509999999999</v>
      </c>
      <c r="E1203" s="8">
        <v>92.611999999999995</v>
      </c>
      <c r="F1203" s="13"/>
      <c r="G1203" s="13" t="s">
        <v>82</v>
      </c>
      <c r="H1203" s="13" t="s">
        <v>83</v>
      </c>
      <c r="I1203" s="13" t="s">
        <v>26</v>
      </c>
      <c r="J1203" s="17">
        <f t="shared" si="18"/>
        <v>194999.28921199997</v>
      </c>
      <c r="K1203" s="15" t="s">
        <v>16</v>
      </c>
      <c r="L1203" s="13"/>
      <c r="M1203" s="13"/>
      <c r="N1203" s="14"/>
    </row>
    <row r="1204" spans="1:14" x14ac:dyDescent="0.35">
      <c r="A1204" s="16" t="s">
        <v>81</v>
      </c>
      <c r="B1204" s="13" t="s">
        <v>25</v>
      </c>
      <c r="C1204" s="12">
        <v>45845</v>
      </c>
      <c r="D1204" s="8">
        <v>1673.4079999999999</v>
      </c>
      <c r="E1204" s="8">
        <v>92.653599999999997</v>
      </c>
      <c r="F1204" s="13"/>
      <c r="G1204" s="13" t="s">
        <v>82</v>
      </c>
      <c r="H1204" s="13" t="s">
        <v>83</v>
      </c>
      <c r="I1204" s="13" t="s">
        <v>26</v>
      </c>
      <c r="J1204" s="17">
        <f t="shared" si="18"/>
        <v>155047.27546879998</v>
      </c>
      <c r="K1204" s="15" t="s">
        <v>16</v>
      </c>
      <c r="L1204" s="13"/>
      <c r="M1204" s="13"/>
      <c r="N1204" s="14"/>
    </row>
    <row r="1205" spans="1:14" x14ac:dyDescent="0.35">
      <c r="A1205" s="16" t="s">
        <v>81</v>
      </c>
      <c r="B1205" s="13" t="s">
        <v>25</v>
      </c>
      <c r="C1205" s="12">
        <v>45845</v>
      </c>
      <c r="D1205" s="8">
        <v>2153.2350000000001</v>
      </c>
      <c r="E1205" s="8">
        <v>92.653599999999997</v>
      </c>
      <c r="F1205" s="13"/>
      <c r="G1205" s="13" t="s">
        <v>82</v>
      </c>
      <c r="H1205" s="13" t="s">
        <v>83</v>
      </c>
      <c r="I1205" s="13" t="s">
        <v>26</v>
      </c>
      <c r="J1205" s="17">
        <f t="shared" si="18"/>
        <v>199504.97439600001</v>
      </c>
      <c r="K1205" s="15" t="s">
        <v>16</v>
      </c>
      <c r="L1205" s="13"/>
      <c r="M1205" s="13"/>
      <c r="N1205" s="14"/>
    </row>
    <row r="1206" spans="1:14" x14ac:dyDescent="0.35">
      <c r="A1206" s="16" t="s">
        <v>81</v>
      </c>
      <c r="B1206" s="13" t="s">
        <v>25</v>
      </c>
      <c r="C1206" s="12">
        <v>45846</v>
      </c>
      <c r="D1206" s="8">
        <v>2108.9079999999999</v>
      </c>
      <c r="E1206" s="8">
        <v>92.483999999999995</v>
      </c>
      <c r="F1206" s="13"/>
      <c r="G1206" s="13" t="s">
        <v>82</v>
      </c>
      <c r="H1206" s="13" t="s">
        <v>83</v>
      </c>
      <c r="I1206" s="13" t="s">
        <v>26</v>
      </c>
      <c r="J1206" s="17">
        <f t="shared" si="18"/>
        <v>195040.24747199999</v>
      </c>
      <c r="K1206" s="15" t="s">
        <v>16</v>
      </c>
      <c r="L1206" s="13"/>
      <c r="M1206" s="13"/>
      <c r="N1206" s="14"/>
    </row>
    <row r="1207" spans="1:14" x14ac:dyDescent="0.35">
      <c r="A1207" s="16" t="s">
        <v>81</v>
      </c>
      <c r="B1207" s="13" t="s">
        <v>25</v>
      </c>
      <c r="C1207" s="12">
        <v>45848</v>
      </c>
      <c r="D1207" s="8">
        <v>487.36799999999999</v>
      </c>
      <c r="E1207" s="8">
        <v>92.430599999999998</v>
      </c>
      <c r="F1207" s="13"/>
      <c r="G1207" s="13" t="s">
        <v>82</v>
      </c>
      <c r="H1207" s="13" t="s">
        <v>83</v>
      </c>
      <c r="I1207" s="13" t="s">
        <v>26</v>
      </c>
      <c r="J1207" s="17">
        <f t="shared" si="18"/>
        <v>45047.716660799997</v>
      </c>
      <c r="K1207" s="15" t="s">
        <v>16</v>
      </c>
      <c r="L1207" s="13"/>
      <c r="M1207" s="13"/>
      <c r="N1207" s="14"/>
    </row>
    <row r="1208" spans="1:14" x14ac:dyDescent="0.35">
      <c r="A1208" s="16" t="s">
        <v>27</v>
      </c>
      <c r="B1208" s="13" t="s">
        <v>56</v>
      </c>
      <c r="C1208" s="12">
        <v>45849</v>
      </c>
      <c r="D1208" s="8">
        <v>50.966000000000001</v>
      </c>
      <c r="E1208" s="8">
        <v>19.62</v>
      </c>
      <c r="F1208" s="13"/>
      <c r="G1208" s="13" t="s">
        <v>13</v>
      </c>
      <c r="H1208" s="13" t="s">
        <v>40</v>
      </c>
      <c r="I1208" s="13" t="s">
        <v>57</v>
      </c>
      <c r="J1208" s="17">
        <f t="shared" si="18"/>
        <v>999.95292000000006</v>
      </c>
      <c r="K1208" s="15" t="s">
        <v>16</v>
      </c>
      <c r="L1208" s="13"/>
      <c r="M1208" s="13"/>
      <c r="N1208" s="14"/>
    </row>
    <row r="1209" spans="1:14" x14ac:dyDescent="0.35">
      <c r="A1209" s="16" t="s">
        <v>81</v>
      </c>
      <c r="B1209" s="13" t="s">
        <v>25</v>
      </c>
      <c r="C1209" s="12">
        <v>45849</v>
      </c>
      <c r="D1209" s="8">
        <v>656.84699999999998</v>
      </c>
      <c r="E1209" s="8">
        <v>92.102099999999993</v>
      </c>
      <c r="F1209" s="13"/>
      <c r="G1209" s="13" t="s">
        <v>82</v>
      </c>
      <c r="H1209" s="13" t="s">
        <v>83</v>
      </c>
      <c r="I1209" s="13" t="s">
        <v>26</v>
      </c>
      <c r="J1209" s="17">
        <f t="shared" si="18"/>
        <v>60496.988078699993</v>
      </c>
      <c r="K1209" s="15" t="s">
        <v>16</v>
      </c>
      <c r="L1209" s="13"/>
      <c r="M1209" s="13"/>
      <c r="N1209" s="14"/>
    </row>
    <row r="1210" spans="1:14" x14ac:dyDescent="0.35">
      <c r="A1210" s="16" t="s">
        <v>49</v>
      </c>
      <c r="B1210" s="13" t="s">
        <v>39</v>
      </c>
      <c r="C1210" s="12">
        <v>45856</v>
      </c>
      <c r="D1210" s="8">
        <v>14.648</v>
      </c>
      <c r="E1210" s="8">
        <v>170.66499999999999</v>
      </c>
      <c r="F1210" s="13"/>
      <c r="G1210" s="13" t="s">
        <v>31</v>
      </c>
      <c r="H1210" s="13" t="s">
        <v>40</v>
      </c>
      <c r="I1210" s="13" t="s">
        <v>41</v>
      </c>
      <c r="J1210" s="17">
        <f t="shared" si="18"/>
        <v>2499.90092</v>
      </c>
      <c r="K1210" s="15" t="s">
        <v>32</v>
      </c>
      <c r="L1210" s="13"/>
      <c r="M1210" s="13"/>
      <c r="N1210" s="14"/>
    </row>
    <row r="1211" spans="1:14" x14ac:dyDescent="0.35">
      <c r="A1211" s="16" t="s">
        <v>74</v>
      </c>
      <c r="B1211" s="13" t="s">
        <v>42</v>
      </c>
      <c r="C1211" s="12">
        <v>45859</v>
      </c>
      <c r="D1211" s="8">
        <v>14.718999999999999</v>
      </c>
      <c r="E1211" s="8">
        <v>203.80279999999999</v>
      </c>
      <c r="F1211" s="13"/>
      <c r="G1211" s="13" t="s">
        <v>31</v>
      </c>
      <c r="H1211" s="13" t="s">
        <v>40</v>
      </c>
      <c r="I1211" s="13" t="s">
        <v>43</v>
      </c>
      <c r="J1211" s="17">
        <f t="shared" si="18"/>
        <v>2999.7734131999996</v>
      </c>
      <c r="K1211" s="15" t="s">
        <v>32</v>
      </c>
      <c r="L1211" s="13"/>
      <c r="M1211" s="13"/>
      <c r="N1211" s="14"/>
    </row>
    <row r="1212" spans="1:14" x14ac:dyDescent="0.35">
      <c r="A1212" s="16" t="s">
        <v>27</v>
      </c>
      <c r="B1212" s="13" t="s">
        <v>71</v>
      </c>
      <c r="C1212" s="12">
        <v>45862</v>
      </c>
      <c r="D1212" s="8">
        <v>226.797</v>
      </c>
      <c r="E1212" s="8">
        <v>44.09</v>
      </c>
      <c r="F1212" s="13"/>
      <c r="G1212" s="13" t="s">
        <v>13</v>
      </c>
      <c r="H1212" s="13" t="s">
        <v>72</v>
      </c>
      <c r="I1212" s="13" t="s">
        <v>73</v>
      </c>
      <c r="J1212" s="17">
        <f t="shared" si="18"/>
        <v>9999.4797300000009</v>
      </c>
      <c r="K1212" s="15" t="s">
        <v>16</v>
      </c>
      <c r="L1212" s="13"/>
      <c r="M1212" s="13"/>
      <c r="N1212" s="14"/>
    </row>
    <row r="1213" spans="1:14" x14ac:dyDescent="0.35">
      <c r="A1213" s="16" t="s">
        <v>65</v>
      </c>
      <c r="B1213" s="13" t="s">
        <v>54</v>
      </c>
      <c r="C1213" s="12">
        <v>45863</v>
      </c>
      <c r="D1213" s="8">
        <v>122.61</v>
      </c>
      <c r="E1213" s="8">
        <v>40.777999999999999</v>
      </c>
      <c r="F1213" s="13"/>
      <c r="G1213" s="13" t="s">
        <v>38</v>
      </c>
      <c r="H1213" s="13" t="s">
        <v>66</v>
      </c>
      <c r="I1213" s="13" t="s">
        <v>55</v>
      </c>
      <c r="J1213" s="17">
        <f t="shared" si="18"/>
        <v>4999.7905799999999</v>
      </c>
      <c r="K1213" s="15" t="s">
        <v>16</v>
      </c>
      <c r="L1213" s="13"/>
      <c r="M1213" s="13"/>
      <c r="N1213" s="14"/>
    </row>
    <row r="1214" spans="1:14" x14ac:dyDescent="0.35">
      <c r="A1214" s="16" t="s">
        <v>67</v>
      </c>
      <c r="B1214" s="13" t="s">
        <v>54</v>
      </c>
      <c r="C1214" s="12">
        <v>45863</v>
      </c>
      <c r="D1214" s="8">
        <v>40.777999999999999</v>
      </c>
      <c r="E1214" s="8">
        <v>122.61</v>
      </c>
      <c r="F1214" s="13"/>
      <c r="G1214" s="13" t="s">
        <v>38</v>
      </c>
      <c r="H1214" s="13" t="s">
        <v>68</v>
      </c>
      <c r="I1214" s="13" t="s">
        <v>55</v>
      </c>
      <c r="J1214" s="17">
        <f t="shared" si="18"/>
        <v>4999.7905799999999</v>
      </c>
      <c r="K1214" s="15" t="s">
        <v>16</v>
      </c>
      <c r="L1214" s="13"/>
      <c r="M1214" s="13"/>
      <c r="N1214" s="14"/>
    </row>
    <row r="1215" spans="1:14" x14ac:dyDescent="0.35">
      <c r="A1215" s="16" t="s">
        <v>27</v>
      </c>
      <c r="B1215" s="13" t="s">
        <v>71</v>
      </c>
      <c r="C1215" s="12">
        <v>45863</v>
      </c>
      <c r="D1215" s="8">
        <v>230.08500000000001</v>
      </c>
      <c r="E1215" s="8">
        <v>43.46</v>
      </c>
      <c r="F1215" s="13"/>
      <c r="G1215" s="13" t="s">
        <v>13</v>
      </c>
      <c r="H1215" s="13" t="s">
        <v>72</v>
      </c>
      <c r="I1215" s="13" t="s">
        <v>73</v>
      </c>
      <c r="J1215" s="17">
        <f t="shared" si="18"/>
        <v>9999.4940999999999</v>
      </c>
      <c r="K1215" s="15" t="s">
        <v>16</v>
      </c>
      <c r="L1215" s="13"/>
      <c r="M1215" s="13"/>
      <c r="N1215" s="14"/>
    </row>
    <row r="1216" spans="1:14" x14ac:dyDescent="0.35">
      <c r="A1216" s="16" t="s">
        <v>84</v>
      </c>
      <c r="B1216" s="13" t="s">
        <v>25</v>
      </c>
      <c r="C1216" s="12">
        <v>45863</v>
      </c>
      <c r="D1216" s="8">
        <v>54.366</v>
      </c>
      <c r="E1216" s="8">
        <v>92.055899999999994</v>
      </c>
      <c r="F1216" s="13"/>
      <c r="G1216" s="13" t="s">
        <v>85</v>
      </c>
      <c r="H1216" s="13" t="s">
        <v>83</v>
      </c>
      <c r="I1216" s="13" t="s">
        <v>26</v>
      </c>
      <c r="J1216" s="17">
        <f t="shared" si="18"/>
        <v>5004.7110593999996</v>
      </c>
      <c r="K1216" s="15" t="s">
        <v>86</v>
      </c>
      <c r="L1216" s="13"/>
      <c r="M1216" s="13"/>
      <c r="N1216" s="14"/>
    </row>
    <row r="1217" spans="1:14" x14ac:dyDescent="0.35">
      <c r="A1217" s="16" t="s">
        <v>81</v>
      </c>
      <c r="B1217" s="13" t="s">
        <v>25</v>
      </c>
      <c r="C1217" s="12">
        <v>45867</v>
      </c>
      <c r="D1217" s="8">
        <v>2720.4609999999998</v>
      </c>
      <c r="E1217" s="8">
        <v>91.891599999999997</v>
      </c>
      <c r="F1217" s="13"/>
      <c r="G1217" s="13" t="s">
        <v>82</v>
      </c>
      <c r="H1217" s="13" t="s">
        <v>83</v>
      </c>
      <c r="I1217" s="13" t="s">
        <v>26</v>
      </c>
      <c r="J1217" s="17">
        <f t="shared" si="18"/>
        <v>249987.51402759997</v>
      </c>
      <c r="K1217" s="15" t="s">
        <v>16</v>
      </c>
      <c r="L1217" s="13"/>
      <c r="M1217" s="13"/>
      <c r="N1217" s="14"/>
    </row>
    <row r="1218" spans="1:14" x14ac:dyDescent="0.35">
      <c r="A1218" s="16" t="s">
        <v>84</v>
      </c>
      <c r="B1218" s="13" t="s">
        <v>25</v>
      </c>
      <c r="C1218" s="12">
        <v>45867</v>
      </c>
      <c r="D1218" s="8">
        <v>54.463999999999999</v>
      </c>
      <c r="E1218" s="8">
        <v>91.891599999999997</v>
      </c>
      <c r="F1218" s="13"/>
      <c r="G1218" s="13" t="s">
        <v>85</v>
      </c>
      <c r="H1218" s="13" t="s">
        <v>83</v>
      </c>
      <c r="I1218" s="13" t="s">
        <v>26</v>
      </c>
      <c r="J1218" s="17">
        <f t="shared" ref="J1218:J1281" si="19">D1218*E1218</f>
        <v>5004.7841023999999</v>
      </c>
      <c r="K1218" s="15" t="s">
        <v>86</v>
      </c>
      <c r="L1218" s="13"/>
      <c r="M1218" s="13"/>
      <c r="N1218" s="14"/>
    </row>
    <row r="1219" spans="1:14" x14ac:dyDescent="0.35">
      <c r="A1219" s="16" t="s">
        <v>81</v>
      </c>
      <c r="B1219" s="13" t="s">
        <v>25</v>
      </c>
      <c r="C1219" s="12">
        <v>45868</v>
      </c>
      <c r="D1219" s="8">
        <v>2719.8719999999998</v>
      </c>
      <c r="E1219" s="8">
        <v>91.911500000000004</v>
      </c>
      <c r="F1219" s="13"/>
      <c r="G1219" s="13" t="s">
        <v>82</v>
      </c>
      <c r="H1219" s="13" t="s">
        <v>83</v>
      </c>
      <c r="I1219" s="13" t="s">
        <v>26</v>
      </c>
      <c r="J1219" s="17">
        <f t="shared" si="19"/>
        <v>249987.51532800001</v>
      </c>
      <c r="K1219" s="15" t="s">
        <v>16</v>
      </c>
      <c r="L1219" s="13"/>
      <c r="M1219" s="13"/>
      <c r="N1219" s="14"/>
    </row>
    <row r="1220" spans="1:14" x14ac:dyDescent="0.35">
      <c r="A1220" s="16" t="s">
        <v>81</v>
      </c>
      <c r="B1220" s="13" t="s">
        <v>25</v>
      </c>
      <c r="C1220" s="12">
        <v>45869</v>
      </c>
      <c r="D1220" s="8">
        <v>1302.0150000000001</v>
      </c>
      <c r="E1220" s="8">
        <v>92.160200000000003</v>
      </c>
      <c r="F1220" s="13"/>
      <c r="G1220" s="13" t="s">
        <v>82</v>
      </c>
      <c r="H1220" s="13" t="s">
        <v>83</v>
      </c>
      <c r="I1220" s="13" t="s">
        <v>26</v>
      </c>
      <c r="J1220" s="17">
        <f t="shared" si="19"/>
        <v>119993.96280300002</v>
      </c>
      <c r="K1220" s="15" t="s">
        <v>16</v>
      </c>
      <c r="L1220" s="13"/>
      <c r="M1220" s="13"/>
      <c r="N1220" s="14"/>
    </row>
    <row r="1221" spans="1:14" x14ac:dyDescent="0.35">
      <c r="A1221" s="16" t="s">
        <v>81</v>
      </c>
      <c r="B1221" s="13" t="s">
        <v>25</v>
      </c>
      <c r="C1221" s="12">
        <v>45873</v>
      </c>
      <c r="D1221" s="8">
        <v>491.71100000000001</v>
      </c>
      <c r="E1221" s="8">
        <v>91.512600000000006</v>
      </c>
      <c r="F1221" s="13"/>
      <c r="G1221" s="13" t="s">
        <v>82</v>
      </c>
      <c r="H1221" s="13" t="s">
        <v>83</v>
      </c>
      <c r="I1221" s="13" t="s">
        <v>26</v>
      </c>
      <c r="J1221" s="17">
        <f t="shared" si="19"/>
        <v>44997.752058600003</v>
      </c>
      <c r="K1221" s="15" t="s">
        <v>16</v>
      </c>
      <c r="L1221" s="13"/>
      <c r="M1221" s="13"/>
      <c r="N1221" s="14"/>
    </row>
    <row r="1222" spans="1:14" x14ac:dyDescent="0.35">
      <c r="A1222" s="16" t="s">
        <v>27</v>
      </c>
      <c r="B1222" s="13" t="s">
        <v>56</v>
      </c>
      <c r="C1222" s="12">
        <v>45880</v>
      </c>
      <c r="D1222" s="8">
        <v>52.216999999999999</v>
      </c>
      <c r="E1222" s="8">
        <v>19.149999999999999</v>
      </c>
      <c r="F1222" s="13"/>
      <c r="G1222" s="13" t="s">
        <v>13</v>
      </c>
      <c r="H1222" s="13" t="s">
        <v>40</v>
      </c>
      <c r="I1222" s="13" t="s">
        <v>57</v>
      </c>
      <c r="J1222" s="17">
        <f t="shared" si="19"/>
        <v>999.9555499999999</v>
      </c>
      <c r="K1222" s="15" t="s">
        <v>16</v>
      </c>
      <c r="L1222" s="13"/>
      <c r="M1222" s="13"/>
      <c r="N1222" s="14"/>
    </row>
    <row r="1223" spans="1:14" x14ac:dyDescent="0.35">
      <c r="A1223" s="16" t="s">
        <v>49</v>
      </c>
      <c r="B1223" s="13" t="s">
        <v>39</v>
      </c>
      <c r="C1223" s="12">
        <v>45887</v>
      </c>
      <c r="D1223" s="8">
        <v>14.823</v>
      </c>
      <c r="E1223" s="8">
        <v>168.648</v>
      </c>
      <c r="F1223" s="13"/>
      <c r="G1223" s="13" t="s">
        <v>31</v>
      </c>
      <c r="H1223" s="13" t="s">
        <v>40</v>
      </c>
      <c r="I1223" s="13" t="s">
        <v>41</v>
      </c>
      <c r="J1223" s="17">
        <f t="shared" si="19"/>
        <v>2499.8693039999998</v>
      </c>
      <c r="K1223" s="15" t="s">
        <v>32</v>
      </c>
      <c r="L1223" s="13"/>
      <c r="M1223" s="13"/>
      <c r="N1223" s="14"/>
    </row>
    <row r="1224" spans="1:14" x14ac:dyDescent="0.35">
      <c r="A1224" s="16" t="s">
        <v>74</v>
      </c>
      <c r="B1224" s="13" t="s">
        <v>42</v>
      </c>
      <c r="C1224" s="12">
        <v>45888</v>
      </c>
      <c r="D1224" s="8">
        <v>15.148</v>
      </c>
      <c r="E1224" s="8">
        <v>198.03890000000001</v>
      </c>
      <c r="F1224" s="13"/>
      <c r="G1224" s="13" t="s">
        <v>31</v>
      </c>
      <c r="H1224" s="13" t="s">
        <v>40</v>
      </c>
      <c r="I1224" s="13" t="s">
        <v>43</v>
      </c>
      <c r="J1224" s="17">
        <f t="shared" si="19"/>
        <v>2999.8932572000003</v>
      </c>
      <c r="K1224" s="15" t="s">
        <v>32</v>
      </c>
      <c r="L1224" s="13"/>
      <c r="M1224" s="13"/>
      <c r="N1224" s="14"/>
    </row>
    <row r="1225" spans="1:14" x14ac:dyDescent="0.35">
      <c r="A1225" s="16" t="s">
        <v>65</v>
      </c>
      <c r="B1225" s="13" t="s">
        <v>54</v>
      </c>
      <c r="C1225" s="12">
        <v>45894</v>
      </c>
      <c r="D1225" s="8">
        <v>121.03</v>
      </c>
      <c r="E1225" s="8">
        <v>41.31</v>
      </c>
      <c r="F1225" s="13"/>
      <c r="G1225" s="13" t="s">
        <v>38</v>
      </c>
      <c r="H1225" s="13" t="s">
        <v>66</v>
      </c>
      <c r="I1225" s="13" t="s">
        <v>55</v>
      </c>
      <c r="J1225" s="17">
        <f t="shared" si="19"/>
        <v>4999.7493000000004</v>
      </c>
      <c r="K1225" s="15" t="s">
        <v>16</v>
      </c>
      <c r="L1225" s="13"/>
      <c r="M1225" s="13"/>
      <c r="N1225" s="14"/>
    </row>
    <row r="1226" spans="1:14" x14ac:dyDescent="0.35">
      <c r="A1226" s="16" t="s">
        <v>65</v>
      </c>
      <c r="B1226" s="13" t="s">
        <v>54</v>
      </c>
      <c r="C1226" s="12">
        <v>45894</v>
      </c>
      <c r="D1226" s="8">
        <v>121.03</v>
      </c>
      <c r="E1226" s="8">
        <v>41.31</v>
      </c>
      <c r="F1226" s="13"/>
      <c r="G1226" s="13" t="s">
        <v>38</v>
      </c>
      <c r="H1226" s="13" t="s">
        <v>66</v>
      </c>
      <c r="I1226" s="13" t="s">
        <v>55</v>
      </c>
      <c r="J1226" s="17">
        <f t="shared" si="19"/>
        <v>4999.7493000000004</v>
      </c>
      <c r="K1226" s="15" t="s">
        <v>16</v>
      </c>
      <c r="L1226" s="13"/>
      <c r="M1226" s="13"/>
      <c r="N1226" s="14"/>
    </row>
    <row r="1227" spans="1:14" x14ac:dyDescent="0.35">
      <c r="A1227" s="16" t="s">
        <v>67</v>
      </c>
      <c r="B1227" s="13" t="s">
        <v>54</v>
      </c>
      <c r="C1227" s="12">
        <v>45894</v>
      </c>
      <c r="D1227" s="8">
        <v>41.31</v>
      </c>
      <c r="E1227" s="8">
        <v>121.03</v>
      </c>
      <c r="F1227" s="13"/>
      <c r="G1227" s="13" t="s">
        <v>38</v>
      </c>
      <c r="H1227" s="13" t="s">
        <v>68</v>
      </c>
      <c r="I1227" s="13" t="s">
        <v>55</v>
      </c>
      <c r="J1227" s="17">
        <f t="shared" si="19"/>
        <v>4999.7493000000004</v>
      </c>
      <c r="K1227" s="15" t="s">
        <v>16</v>
      </c>
      <c r="L1227" s="13"/>
      <c r="M1227" s="13"/>
      <c r="N1227" s="14"/>
    </row>
    <row r="1228" spans="1:14" x14ac:dyDescent="0.35">
      <c r="A1228" s="16" t="s">
        <v>67</v>
      </c>
      <c r="B1228" s="13" t="s">
        <v>54</v>
      </c>
      <c r="C1228" s="12">
        <v>45894</v>
      </c>
      <c r="D1228" s="8">
        <v>41.31</v>
      </c>
      <c r="E1228" s="8">
        <v>121.03</v>
      </c>
      <c r="F1228" s="13"/>
      <c r="G1228" s="13" t="s">
        <v>38</v>
      </c>
      <c r="H1228" s="13" t="s">
        <v>68</v>
      </c>
      <c r="I1228" s="13" t="s">
        <v>55</v>
      </c>
      <c r="J1228" s="17">
        <f t="shared" si="19"/>
        <v>4999.7493000000004</v>
      </c>
      <c r="K1228" s="15" t="s">
        <v>16</v>
      </c>
      <c r="L1228" s="13"/>
      <c r="M1228" s="13"/>
      <c r="N1228" s="14"/>
    </row>
    <row r="1229" spans="1:14" x14ac:dyDescent="0.35">
      <c r="A1229" s="16" t="s">
        <v>81</v>
      </c>
      <c r="B1229" s="13" t="s">
        <v>25</v>
      </c>
      <c r="C1229" s="12">
        <v>45897</v>
      </c>
      <c r="D1229" s="8">
        <v>1096.2850000000001</v>
      </c>
      <c r="E1229" s="8">
        <v>91.173400000000001</v>
      </c>
      <c r="F1229" s="13"/>
      <c r="G1229" s="13" t="s">
        <v>82</v>
      </c>
      <c r="H1229" s="13" t="s">
        <v>83</v>
      </c>
      <c r="I1229" s="13" t="s">
        <v>26</v>
      </c>
      <c r="J1229" s="17">
        <f t="shared" si="19"/>
        <v>99952.030819000007</v>
      </c>
      <c r="K1229" s="15" t="s">
        <v>16</v>
      </c>
      <c r="L1229" s="13"/>
      <c r="M1229" s="13"/>
      <c r="N1229" s="14"/>
    </row>
    <row r="1230" spans="1:14" x14ac:dyDescent="0.35">
      <c r="A1230" s="16" t="s">
        <v>84</v>
      </c>
      <c r="B1230" s="13" t="s">
        <v>25</v>
      </c>
      <c r="C1230" s="12">
        <v>45897</v>
      </c>
      <c r="D1230" s="8">
        <v>548.92700000000002</v>
      </c>
      <c r="E1230" s="8">
        <v>91.173400000000001</v>
      </c>
      <c r="F1230" s="13"/>
      <c r="G1230" s="13" t="s">
        <v>85</v>
      </c>
      <c r="H1230" s="13" t="s">
        <v>83</v>
      </c>
      <c r="I1230" s="13" t="s">
        <v>26</v>
      </c>
      <c r="J1230" s="17">
        <f t="shared" si="19"/>
        <v>50047.540941800005</v>
      </c>
      <c r="K1230" s="15" t="s">
        <v>86</v>
      </c>
      <c r="L1230" s="13"/>
      <c r="M1230" s="13"/>
      <c r="N1230" s="14"/>
    </row>
    <row r="1231" spans="1:14" x14ac:dyDescent="0.35">
      <c r="A1231" s="16" t="s">
        <v>33</v>
      </c>
      <c r="B1231" s="13" t="s">
        <v>25</v>
      </c>
      <c r="C1231" s="12">
        <v>45897</v>
      </c>
      <c r="D1231" s="8">
        <v>548.38</v>
      </c>
      <c r="E1231" s="8">
        <v>91.173400000000001</v>
      </c>
      <c r="F1231" s="13"/>
      <c r="G1231" s="13" t="s">
        <v>31</v>
      </c>
      <c r="H1231" s="13" t="s">
        <v>83</v>
      </c>
      <c r="I1231" s="13" t="s">
        <v>26</v>
      </c>
      <c r="J1231" s="17">
        <f t="shared" si="19"/>
        <v>49997.669091999996</v>
      </c>
      <c r="K1231" s="15" t="s">
        <v>32</v>
      </c>
      <c r="L1231" s="13"/>
      <c r="M1231" s="13"/>
      <c r="N1231" s="14"/>
    </row>
    <row r="1232" spans="1:14" x14ac:dyDescent="0.35">
      <c r="A1232" s="16" t="s">
        <v>81</v>
      </c>
      <c r="B1232" s="13" t="s">
        <v>25</v>
      </c>
      <c r="C1232" s="12">
        <v>45898</v>
      </c>
      <c r="D1232" s="8">
        <v>548.71500000000003</v>
      </c>
      <c r="E1232" s="8">
        <v>91.073700000000002</v>
      </c>
      <c r="F1232" s="13"/>
      <c r="G1232" s="13" t="s">
        <v>82</v>
      </c>
      <c r="H1232" s="13" t="s">
        <v>83</v>
      </c>
      <c r="I1232" s="13" t="s">
        <v>26</v>
      </c>
      <c r="J1232" s="17">
        <f t="shared" si="19"/>
        <v>49973.505295500006</v>
      </c>
      <c r="K1232" s="15" t="s">
        <v>16</v>
      </c>
      <c r="L1232" s="13"/>
      <c r="M1232" s="13"/>
      <c r="N1232" s="14"/>
    </row>
    <row r="1233" spans="1:14" x14ac:dyDescent="0.35">
      <c r="A1233" s="16" t="s">
        <v>84</v>
      </c>
      <c r="B1233" s="13" t="s">
        <v>25</v>
      </c>
      <c r="C1233" s="12">
        <v>45898</v>
      </c>
      <c r="D1233" s="8">
        <v>1099.0550000000001</v>
      </c>
      <c r="E1233" s="8">
        <v>91.073700000000002</v>
      </c>
      <c r="F1233" s="13"/>
      <c r="G1233" s="13" t="s">
        <v>85</v>
      </c>
      <c r="H1233" s="13" t="s">
        <v>83</v>
      </c>
      <c r="I1233" s="13" t="s">
        <v>26</v>
      </c>
      <c r="J1233" s="17">
        <f t="shared" si="19"/>
        <v>100095.0053535</v>
      </c>
      <c r="K1233" s="15" t="s">
        <v>86</v>
      </c>
      <c r="L1233" s="13"/>
      <c r="M1233" s="13"/>
      <c r="N1233" s="14"/>
    </row>
    <row r="1234" spans="1:14" x14ac:dyDescent="0.35">
      <c r="A1234" s="16" t="s">
        <v>81</v>
      </c>
      <c r="B1234" s="13" t="s">
        <v>25</v>
      </c>
      <c r="C1234" s="12">
        <v>45901</v>
      </c>
      <c r="D1234" s="8">
        <v>218.16900000000001</v>
      </c>
      <c r="E1234" s="8">
        <v>91.520700000000005</v>
      </c>
      <c r="F1234" s="13"/>
      <c r="G1234" s="13" t="s">
        <v>82</v>
      </c>
      <c r="H1234" s="13" t="s">
        <v>83</v>
      </c>
      <c r="I1234" s="13" t="s">
        <v>26</v>
      </c>
      <c r="J1234" s="17">
        <f t="shared" si="19"/>
        <v>19966.9795983</v>
      </c>
      <c r="K1234" s="15" t="s">
        <v>16</v>
      </c>
      <c r="L1234" s="13"/>
      <c r="M1234" s="13"/>
      <c r="N1234" s="14"/>
    </row>
    <row r="1235" spans="1:14" x14ac:dyDescent="0.35">
      <c r="A1235" s="16" t="s">
        <v>87</v>
      </c>
      <c r="B1235" s="13" t="s">
        <v>18</v>
      </c>
      <c r="C1235" s="12">
        <v>45902</v>
      </c>
      <c r="D1235" s="8">
        <v>5.33</v>
      </c>
      <c r="E1235" s="8">
        <v>187.8048</v>
      </c>
      <c r="F1235" s="13"/>
      <c r="G1235" s="13" t="s">
        <v>88</v>
      </c>
      <c r="H1235" s="13" t="s">
        <v>89</v>
      </c>
      <c r="I1235" s="13" t="s">
        <v>19</v>
      </c>
      <c r="J1235" s="17">
        <f t="shared" si="19"/>
        <v>1000.999584</v>
      </c>
      <c r="K1235" s="15" t="s">
        <v>86</v>
      </c>
      <c r="L1235" s="13"/>
      <c r="M1235" s="13"/>
      <c r="N1235" s="14"/>
    </row>
    <row r="1236" spans="1:14" x14ac:dyDescent="0.35">
      <c r="A1236" s="16" t="s">
        <v>84</v>
      </c>
      <c r="B1236" s="13" t="s">
        <v>25</v>
      </c>
      <c r="C1236" s="12">
        <v>45903</v>
      </c>
      <c r="D1236" s="8">
        <v>433.92</v>
      </c>
      <c r="E1236" s="8">
        <v>92.178200000000004</v>
      </c>
      <c r="F1236" s="13"/>
      <c r="G1236" s="13" t="s">
        <v>85</v>
      </c>
      <c r="H1236" s="13" t="s">
        <v>83</v>
      </c>
      <c r="I1236" s="13" t="s">
        <v>26</v>
      </c>
      <c r="J1236" s="17">
        <f t="shared" si="19"/>
        <v>39997.964544000002</v>
      </c>
      <c r="K1236" s="15" t="s">
        <v>86</v>
      </c>
      <c r="L1236" s="13"/>
      <c r="M1236" s="13"/>
      <c r="N1236" s="14"/>
    </row>
    <row r="1237" spans="1:14" x14ac:dyDescent="0.35">
      <c r="A1237" s="16" t="s">
        <v>81</v>
      </c>
      <c r="B1237" s="13" t="s">
        <v>25</v>
      </c>
      <c r="C1237" s="12">
        <v>45904</v>
      </c>
      <c r="D1237" s="8">
        <v>269.83100000000002</v>
      </c>
      <c r="E1237" s="8">
        <v>92.482799999999997</v>
      </c>
      <c r="F1237" s="13"/>
      <c r="G1237" s="13" t="s">
        <v>82</v>
      </c>
      <c r="H1237" s="13" t="s">
        <v>83</v>
      </c>
      <c r="I1237" s="13" t="s">
        <v>26</v>
      </c>
      <c r="J1237" s="17">
        <f t="shared" si="19"/>
        <v>24954.7264068</v>
      </c>
      <c r="K1237" s="15" t="s">
        <v>16</v>
      </c>
      <c r="L1237" s="13"/>
      <c r="M1237" s="13"/>
      <c r="N1237" s="14"/>
    </row>
    <row r="1238" spans="1:14" x14ac:dyDescent="0.35">
      <c r="A1238" s="16" t="s">
        <v>84</v>
      </c>
      <c r="B1238" s="13" t="s">
        <v>25</v>
      </c>
      <c r="C1238" s="12">
        <v>45904</v>
      </c>
      <c r="D1238" s="8">
        <v>432.49099999999999</v>
      </c>
      <c r="E1238" s="8">
        <v>92.482799999999997</v>
      </c>
      <c r="F1238" s="13"/>
      <c r="G1238" s="13" t="s">
        <v>85</v>
      </c>
      <c r="H1238" s="13" t="s">
        <v>83</v>
      </c>
      <c r="I1238" s="13" t="s">
        <v>26</v>
      </c>
      <c r="J1238" s="17">
        <f t="shared" si="19"/>
        <v>39997.978654799997</v>
      </c>
      <c r="K1238" s="15" t="s">
        <v>86</v>
      </c>
      <c r="L1238" s="13"/>
      <c r="M1238" s="13"/>
      <c r="N1238" s="14"/>
    </row>
    <row r="1239" spans="1:14" x14ac:dyDescent="0.35">
      <c r="A1239" s="16" t="s">
        <v>84</v>
      </c>
      <c r="B1239" s="13" t="s">
        <v>25</v>
      </c>
      <c r="C1239" s="12">
        <v>45908</v>
      </c>
      <c r="D1239" s="8">
        <v>324.20600000000002</v>
      </c>
      <c r="E1239" s="8">
        <v>92.528999999999996</v>
      </c>
      <c r="F1239" s="13"/>
      <c r="G1239" s="13" t="s">
        <v>85</v>
      </c>
      <c r="H1239" s="13" t="s">
        <v>83</v>
      </c>
      <c r="I1239" s="13" t="s">
        <v>26</v>
      </c>
      <c r="J1239" s="17">
        <f t="shared" si="19"/>
        <v>29998.456974000001</v>
      </c>
      <c r="K1239" s="15" t="s">
        <v>86</v>
      </c>
      <c r="L1239" s="13"/>
      <c r="M1239" s="13"/>
      <c r="N1239" s="14"/>
    </row>
    <row r="1240" spans="1:14" x14ac:dyDescent="0.35">
      <c r="A1240" s="16" t="s">
        <v>27</v>
      </c>
      <c r="B1240" s="13" t="s">
        <v>71</v>
      </c>
      <c r="C1240" s="12">
        <v>45909</v>
      </c>
      <c r="D1240" s="8">
        <v>329.62799999999999</v>
      </c>
      <c r="E1240" s="8">
        <v>42.47</v>
      </c>
      <c r="F1240" s="13"/>
      <c r="G1240" s="13" t="s">
        <v>13</v>
      </c>
      <c r="H1240" s="13" t="s">
        <v>72</v>
      </c>
      <c r="I1240" s="13" t="s">
        <v>73</v>
      </c>
      <c r="J1240" s="17">
        <f t="shared" si="19"/>
        <v>13999.301159999999</v>
      </c>
      <c r="K1240" s="15" t="s">
        <v>16</v>
      </c>
      <c r="L1240" s="13"/>
      <c r="M1240" s="13"/>
      <c r="N1240" s="14"/>
    </row>
    <row r="1241" spans="1:14" x14ac:dyDescent="0.35">
      <c r="A1241" s="16" t="s">
        <v>84</v>
      </c>
      <c r="B1241" s="13" t="s">
        <v>25</v>
      </c>
      <c r="C1241" s="12">
        <v>45909</v>
      </c>
      <c r="D1241" s="8">
        <v>161.173</v>
      </c>
      <c r="E1241" s="8">
        <v>93.063000000000002</v>
      </c>
      <c r="F1241" s="13"/>
      <c r="G1241" s="13" t="s">
        <v>85</v>
      </c>
      <c r="H1241" s="13" t="s">
        <v>83</v>
      </c>
      <c r="I1241" s="13" t="s">
        <v>26</v>
      </c>
      <c r="J1241" s="17">
        <f t="shared" si="19"/>
        <v>14999.242899000001</v>
      </c>
      <c r="K1241" s="15" t="s">
        <v>86</v>
      </c>
      <c r="L1241" s="13"/>
      <c r="M1241" s="13"/>
      <c r="N1241" s="14"/>
    </row>
    <row r="1242" spans="1:14" x14ac:dyDescent="0.35">
      <c r="A1242" s="16" t="s">
        <v>87</v>
      </c>
      <c r="B1242" s="13" t="s">
        <v>18</v>
      </c>
      <c r="C1242" s="12">
        <v>45909</v>
      </c>
      <c r="D1242" s="8">
        <v>5.2960000000000003</v>
      </c>
      <c r="E1242" s="8">
        <v>189.00559999999999</v>
      </c>
      <c r="F1242" s="13"/>
      <c r="G1242" s="13" t="s">
        <v>88</v>
      </c>
      <c r="H1242" s="13" t="s">
        <v>89</v>
      </c>
      <c r="I1242" s="13" t="s">
        <v>19</v>
      </c>
      <c r="J1242" s="17">
        <f t="shared" si="19"/>
        <v>1000.9736576</v>
      </c>
      <c r="K1242" s="15" t="s">
        <v>86</v>
      </c>
      <c r="L1242" s="13"/>
      <c r="M1242" s="13"/>
      <c r="N1242" s="14"/>
    </row>
    <row r="1243" spans="1:14" x14ac:dyDescent="0.35">
      <c r="A1243" s="16" t="s">
        <v>81</v>
      </c>
      <c r="B1243" s="13" t="s">
        <v>25</v>
      </c>
      <c r="C1243" s="12">
        <v>45910</v>
      </c>
      <c r="D1243" s="8">
        <v>602.01300000000003</v>
      </c>
      <c r="E1243" s="8">
        <v>93.083500000000001</v>
      </c>
      <c r="F1243" s="13"/>
      <c r="G1243" s="13" t="s">
        <v>82</v>
      </c>
      <c r="H1243" s="13" t="s">
        <v>83</v>
      </c>
      <c r="I1243" s="13" t="s">
        <v>26</v>
      </c>
      <c r="J1243" s="17">
        <f t="shared" si="19"/>
        <v>56037.477085500002</v>
      </c>
      <c r="K1243" s="15" t="s">
        <v>16</v>
      </c>
      <c r="L1243" s="13"/>
      <c r="M1243" s="13"/>
      <c r="N1243" s="14"/>
    </row>
    <row r="1244" spans="1:14" x14ac:dyDescent="0.35">
      <c r="A1244" s="16" t="s">
        <v>84</v>
      </c>
      <c r="B1244" s="13" t="s">
        <v>25</v>
      </c>
      <c r="C1244" s="12">
        <v>45910</v>
      </c>
      <c r="D1244" s="8">
        <v>161.13800000000001</v>
      </c>
      <c r="E1244" s="8">
        <v>93.083500000000001</v>
      </c>
      <c r="F1244" s="13"/>
      <c r="G1244" s="13" t="s">
        <v>85</v>
      </c>
      <c r="H1244" s="13" t="s">
        <v>83</v>
      </c>
      <c r="I1244" s="13" t="s">
        <v>26</v>
      </c>
      <c r="J1244" s="17">
        <f t="shared" si="19"/>
        <v>14999.289023000001</v>
      </c>
      <c r="K1244" s="15" t="s">
        <v>86</v>
      </c>
      <c r="L1244" s="13"/>
      <c r="M1244" s="13"/>
      <c r="N1244" s="14"/>
    </row>
    <row r="1245" spans="1:14" x14ac:dyDescent="0.35">
      <c r="A1245" s="16" t="s">
        <v>27</v>
      </c>
      <c r="B1245" s="13" t="s">
        <v>56</v>
      </c>
      <c r="C1245" s="12">
        <v>45911</v>
      </c>
      <c r="D1245" s="8">
        <v>51.892000000000003</v>
      </c>
      <c r="E1245" s="8">
        <v>19.27</v>
      </c>
      <c r="F1245" s="13"/>
      <c r="G1245" s="13" t="s">
        <v>13</v>
      </c>
      <c r="H1245" s="13" t="s">
        <v>40</v>
      </c>
      <c r="I1245" s="13" t="s">
        <v>57</v>
      </c>
      <c r="J1245" s="17">
        <f t="shared" si="19"/>
        <v>999.95884000000001</v>
      </c>
      <c r="K1245" s="15" t="s">
        <v>16</v>
      </c>
      <c r="L1245" s="13"/>
      <c r="M1245" s="13"/>
      <c r="N1245" s="14"/>
    </row>
    <row r="1246" spans="1:14" x14ac:dyDescent="0.35">
      <c r="A1246" s="16" t="s">
        <v>81</v>
      </c>
      <c r="B1246" s="13" t="s">
        <v>25</v>
      </c>
      <c r="C1246" s="12">
        <v>45915</v>
      </c>
      <c r="D1246" s="8">
        <v>112.6</v>
      </c>
      <c r="E1246" s="8">
        <v>93.734499999999997</v>
      </c>
      <c r="F1246" s="13"/>
      <c r="G1246" s="13" t="s">
        <v>82</v>
      </c>
      <c r="H1246" s="13" t="s">
        <v>83</v>
      </c>
      <c r="I1246" s="13" t="s">
        <v>26</v>
      </c>
      <c r="J1246" s="17">
        <f t="shared" si="19"/>
        <v>10554.5047</v>
      </c>
      <c r="K1246" s="15" t="s">
        <v>16</v>
      </c>
      <c r="L1246" s="13"/>
      <c r="M1246" s="13"/>
      <c r="N1246" s="14"/>
    </row>
    <row r="1247" spans="1:14" x14ac:dyDescent="0.35">
      <c r="A1247" s="16" t="s">
        <v>84</v>
      </c>
      <c r="B1247" s="13" t="s">
        <v>25</v>
      </c>
      <c r="C1247" s="12">
        <v>45915</v>
      </c>
      <c r="D1247" s="8">
        <v>214.42500000000001</v>
      </c>
      <c r="E1247" s="8">
        <v>93.734499999999997</v>
      </c>
      <c r="F1247" s="13"/>
      <c r="G1247" s="13" t="s">
        <v>85</v>
      </c>
      <c r="H1247" s="13" t="s">
        <v>83</v>
      </c>
      <c r="I1247" s="13" t="s">
        <v>26</v>
      </c>
      <c r="J1247" s="17">
        <f t="shared" si="19"/>
        <v>20099.020162500001</v>
      </c>
      <c r="K1247" s="15" t="s">
        <v>86</v>
      </c>
      <c r="L1247" s="13"/>
      <c r="M1247" s="13"/>
      <c r="N1247" s="14"/>
    </row>
    <row r="1248" spans="1:14" x14ac:dyDescent="0.35">
      <c r="A1248" s="16" t="s">
        <v>33</v>
      </c>
      <c r="B1248" s="13" t="s">
        <v>25</v>
      </c>
      <c r="C1248" s="12">
        <v>45915</v>
      </c>
      <c r="D1248" s="8">
        <v>266.7</v>
      </c>
      <c r="E1248" s="8">
        <v>93.734499999999997</v>
      </c>
      <c r="F1248" s="13"/>
      <c r="G1248" s="13" t="s">
        <v>31</v>
      </c>
      <c r="H1248" s="13" t="s">
        <v>83</v>
      </c>
      <c r="I1248" s="13" t="s">
        <v>26</v>
      </c>
      <c r="J1248" s="17">
        <f t="shared" si="19"/>
        <v>24998.991149999998</v>
      </c>
      <c r="K1248" s="15" t="s">
        <v>32</v>
      </c>
      <c r="L1248" s="13"/>
      <c r="M1248" s="13"/>
      <c r="N1248" s="14"/>
    </row>
    <row r="1249" spans="1:14" x14ac:dyDescent="0.35">
      <c r="A1249" s="16" t="s">
        <v>84</v>
      </c>
      <c r="B1249" s="13" t="s">
        <v>25</v>
      </c>
      <c r="C1249" s="12">
        <v>45916</v>
      </c>
      <c r="D1249" s="8">
        <v>264.83199999999999</v>
      </c>
      <c r="E1249" s="8">
        <v>94.394800000000004</v>
      </c>
      <c r="F1249" s="13"/>
      <c r="G1249" s="13" t="s">
        <v>85</v>
      </c>
      <c r="H1249" s="13" t="s">
        <v>83</v>
      </c>
      <c r="I1249" s="13" t="s">
        <v>26</v>
      </c>
      <c r="J1249" s="17">
        <f t="shared" si="19"/>
        <v>24998.763673599999</v>
      </c>
      <c r="K1249" s="15" t="s">
        <v>86</v>
      </c>
      <c r="L1249" s="13"/>
      <c r="M1249" s="13"/>
      <c r="N1249" s="14"/>
    </row>
    <row r="1250" spans="1:14" x14ac:dyDescent="0.35">
      <c r="A1250" s="16" t="s">
        <v>87</v>
      </c>
      <c r="B1250" s="13" t="s">
        <v>18</v>
      </c>
      <c r="C1250" s="12">
        <v>45916</v>
      </c>
      <c r="D1250" s="8">
        <v>5.2</v>
      </c>
      <c r="E1250" s="8">
        <v>192.48750000000001</v>
      </c>
      <c r="F1250" s="13"/>
      <c r="G1250" s="13" t="s">
        <v>88</v>
      </c>
      <c r="H1250" s="13" t="s">
        <v>89</v>
      </c>
      <c r="I1250" s="13" t="s">
        <v>19</v>
      </c>
      <c r="J1250" s="17">
        <f t="shared" si="19"/>
        <v>1000.9350000000001</v>
      </c>
      <c r="K1250" s="15" t="s">
        <v>86</v>
      </c>
      <c r="L1250" s="13"/>
      <c r="M1250" s="13"/>
      <c r="N1250" s="14"/>
    </row>
    <row r="1251" spans="1:14" x14ac:dyDescent="0.35">
      <c r="A1251" s="16" t="s">
        <v>49</v>
      </c>
      <c r="B1251" s="13" t="s">
        <v>39</v>
      </c>
      <c r="C1251" s="12">
        <v>45918</v>
      </c>
      <c r="D1251" s="8">
        <v>14.419</v>
      </c>
      <c r="E1251" s="8">
        <v>173.37700000000001</v>
      </c>
      <c r="F1251" s="13"/>
      <c r="G1251" s="13" t="s">
        <v>31</v>
      </c>
      <c r="H1251" s="13" t="s">
        <v>40</v>
      </c>
      <c r="I1251" s="13" t="s">
        <v>41</v>
      </c>
      <c r="J1251" s="17">
        <f t="shared" si="19"/>
        <v>2499.9229630000004</v>
      </c>
      <c r="K1251" s="15" t="s">
        <v>32</v>
      </c>
      <c r="L1251" s="13"/>
      <c r="M1251" s="13"/>
      <c r="N1251" s="14"/>
    </row>
    <row r="1252" spans="1:14" x14ac:dyDescent="0.35">
      <c r="A1252" s="16" t="s">
        <v>27</v>
      </c>
      <c r="B1252" s="13" t="s">
        <v>71</v>
      </c>
      <c r="C1252" s="12">
        <v>45919</v>
      </c>
      <c r="D1252" s="8">
        <v>569.70699999999999</v>
      </c>
      <c r="E1252" s="8">
        <v>43.88</v>
      </c>
      <c r="F1252" s="13"/>
      <c r="G1252" s="13" t="s">
        <v>13</v>
      </c>
      <c r="H1252" s="13" t="s">
        <v>72</v>
      </c>
      <c r="I1252" s="13" t="s">
        <v>73</v>
      </c>
      <c r="J1252" s="17">
        <f t="shared" si="19"/>
        <v>24998.743160000002</v>
      </c>
      <c r="K1252" s="15" t="s">
        <v>16</v>
      </c>
      <c r="L1252" s="13"/>
      <c r="M1252" s="13"/>
      <c r="N1252" s="14"/>
    </row>
    <row r="1253" spans="1:14" x14ac:dyDescent="0.35">
      <c r="A1253" s="16" t="s">
        <v>74</v>
      </c>
      <c r="B1253" s="13" t="s">
        <v>42</v>
      </c>
      <c r="C1253" s="12">
        <v>45919</v>
      </c>
      <c r="D1253" s="8">
        <v>14.901999999999999</v>
      </c>
      <c r="E1253" s="8">
        <v>201.30600000000001</v>
      </c>
      <c r="F1253" s="13"/>
      <c r="G1253" s="13" t="s">
        <v>31</v>
      </c>
      <c r="H1253" s="13" t="s">
        <v>40</v>
      </c>
      <c r="I1253" s="13" t="s">
        <v>43</v>
      </c>
      <c r="J1253" s="17">
        <f t="shared" si="19"/>
        <v>2999.862012</v>
      </c>
      <c r="K1253" s="15" t="s">
        <v>32</v>
      </c>
      <c r="L1253" s="13"/>
      <c r="M1253" s="13"/>
      <c r="N1253" s="14"/>
    </row>
    <row r="1254" spans="1:14" x14ac:dyDescent="0.35">
      <c r="A1254" s="16" t="s">
        <v>27</v>
      </c>
      <c r="B1254" s="13" t="s">
        <v>71</v>
      </c>
      <c r="C1254" s="12">
        <v>45922</v>
      </c>
      <c r="D1254" s="8">
        <v>229.50399999999999</v>
      </c>
      <c r="E1254" s="8">
        <v>43.57</v>
      </c>
      <c r="F1254" s="13"/>
      <c r="G1254" s="13" t="s">
        <v>13</v>
      </c>
      <c r="H1254" s="13" t="s">
        <v>72</v>
      </c>
      <c r="I1254" s="13" t="s">
        <v>73</v>
      </c>
      <c r="J1254" s="17">
        <f t="shared" si="19"/>
        <v>9999.4892799999998</v>
      </c>
      <c r="K1254" s="15" t="s">
        <v>16</v>
      </c>
      <c r="L1254" s="13"/>
      <c r="M1254" s="13"/>
      <c r="N1254" s="14"/>
    </row>
    <row r="1255" spans="1:14" x14ac:dyDescent="0.35">
      <c r="A1255" s="16" t="s">
        <v>90</v>
      </c>
      <c r="B1255" s="13" t="s">
        <v>91</v>
      </c>
      <c r="C1255" s="12">
        <v>45922</v>
      </c>
      <c r="D1255" s="8">
        <v>60.725999999999999</v>
      </c>
      <c r="E1255" s="8">
        <v>164.83</v>
      </c>
      <c r="F1255" s="13"/>
      <c r="G1255" s="13" t="s">
        <v>82</v>
      </c>
      <c r="H1255" s="13"/>
      <c r="I1255" s="13" t="s">
        <v>92</v>
      </c>
      <c r="J1255" s="17">
        <f t="shared" si="19"/>
        <v>10009.46658</v>
      </c>
      <c r="K1255" s="15" t="s">
        <v>16</v>
      </c>
      <c r="L1255" s="13"/>
      <c r="M1255" s="13"/>
      <c r="N1255" s="14"/>
    </row>
    <row r="1256" spans="1:14" x14ac:dyDescent="0.35">
      <c r="A1256" s="16" t="s">
        <v>81</v>
      </c>
      <c r="B1256" s="13" t="s">
        <v>25</v>
      </c>
      <c r="C1256" s="12">
        <v>45923</v>
      </c>
      <c r="D1256" s="8">
        <v>1329.58</v>
      </c>
      <c r="E1256" s="8">
        <v>94.009699999999995</v>
      </c>
      <c r="F1256" s="13"/>
      <c r="G1256" s="13" t="s">
        <v>82</v>
      </c>
      <c r="H1256" s="13" t="s">
        <v>83</v>
      </c>
      <c r="I1256" s="13" t="s">
        <v>26</v>
      </c>
      <c r="J1256" s="17">
        <f t="shared" si="19"/>
        <v>124993.41692599999</v>
      </c>
      <c r="K1256" s="15" t="s">
        <v>16</v>
      </c>
      <c r="L1256" s="13"/>
      <c r="M1256" s="13"/>
      <c r="N1256" s="14"/>
    </row>
    <row r="1257" spans="1:14" x14ac:dyDescent="0.35">
      <c r="A1257" s="16" t="s">
        <v>90</v>
      </c>
      <c r="B1257" s="13" t="s">
        <v>91</v>
      </c>
      <c r="C1257" s="12">
        <v>45923</v>
      </c>
      <c r="D1257" s="8">
        <v>407.10599999999999</v>
      </c>
      <c r="E1257" s="8">
        <v>164.56800000000001</v>
      </c>
      <c r="F1257" s="13"/>
      <c r="G1257" s="13" t="s">
        <v>82</v>
      </c>
      <c r="H1257" s="13"/>
      <c r="I1257" s="13" t="s">
        <v>92</v>
      </c>
      <c r="J1257" s="17">
        <f t="shared" si="19"/>
        <v>66996.620208000008</v>
      </c>
      <c r="K1257" s="15" t="s">
        <v>16</v>
      </c>
      <c r="L1257" s="13"/>
      <c r="M1257" s="13"/>
      <c r="N1257" s="14"/>
    </row>
    <row r="1258" spans="1:14" x14ac:dyDescent="0.35">
      <c r="A1258" s="16" t="s">
        <v>84</v>
      </c>
      <c r="B1258" s="13" t="s">
        <v>25</v>
      </c>
      <c r="C1258" s="12">
        <v>45923</v>
      </c>
      <c r="D1258" s="8">
        <v>957.3</v>
      </c>
      <c r="E1258" s="8">
        <v>94.009699999999995</v>
      </c>
      <c r="F1258" s="13"/>
      <c r="G1258" s="13" t="s">
        <v>85</v>
      </c>
      <c r="H1258" s="13" t="s">
        <v>83</v>
      </c>
      <c r="I1258" s="13" t="s">
        <v>26</v>
      </c>
      <c r="J1258" s="17">
        <f t="shared" si="19"/>
        <v>89995.485809999998</v>
      </c>
      <c r="K1258" s="15" t="s">
        <v>86</v>
      </c>
      <c r="L1258" s="13"/>
      <c r="M1258" s="13"/>
      <c r="N1258" s="14"/>
    </row>
    <row r="1259" spans="1:14" x14ac:dyDescent="0.35">
      <c r="A1259" s="16" t="s">
        <v>84</v>
      </c>
      <c r="B1259" s="13" t="s">
        <v>25</v>
      </c>
      <c r="C1259" s="12">
        <v>45923</v>
      </c>
      <c r="D1259" s="8">
        <v>106.367</v>
      </c>
      <c r="E1259" s="8">
        <v>94.009699999999995</v>
      </c>
      <c r="F1259" s="13"/>
      <c r="G1259" s="13" t="s">
        <v>85</v>
      </c>
      <c r="H1259" s="13" t="s">
        <v>83</v>
      </c>
      <c r="I1259" s="13" t="s">
        <v>26</v>
      </c>
      <c r="J1259" s="17">
        <f t="shared" si="19"/>
        <v>9999.5297599000005</v>
      </c>
      <c r="K1259" s="15" t="s">
        <v>86</v>
      </c>
      <c r="L1259" s="13"/>
      <c r="M1259" s="13"/>
      <c r="N1259" s="14"/>
    </row>
    <row r="1260" spans="1:14" x14ac:dyDescent="0.35">
      <c r="A1260" s="16" t="s">
        <v>87</v>
      </c>
      <c r="B1260" s="13" t="s">
        <v>18</v>
      </c>
      <c r="C1260" s="12">
        <v>45923</v>
      </c>
      <c r="D1260" s="8">
        <v>5.2220000000000004</v>
      </c>
      <c r="E1260" s="8">
        <v>191.68279999999999</v>
      </c>
      <c r="F1260" s="13"/>
      <c r="G1260" s="13" t="s">
        <v>88</v>
      </c>
      <c r="H1260" s="13" t="s">
        <v>89</v>
      </c>
      <c r="I1260" s="13" t="s">
        <v>19</v>
      </c>
      <c r="J1260" s="17">
        <f t="shared" si="19"/>
        <v>1000.9675816</v>
      </c>
      <c r="K1260" s="15" t="s">
        <v>86</v>
      </c>
      <c r="L1260" s="13"/>
      <c r="M1260" s="13"/>
      <c r="N1260" s="14"/>
    </row>
    <row r="1261" spans="1:14" x14ac:dyDescent="0.35">
      <c r="A1261" s="16" t="s">
        <v>81</v>
      </c>
      <c r="B1261" s="13" t="s">
        <v>25</v>
      </c>
      <c r="C1261" s="12">
        <v>45924</v>
      </c>
      <c r="D1261" s="8">
        <v>799.55899999999997</v>
      </c>
      <c r="E1261" s="8">
        <v>93.796999999999997</v>
      </c>
      <c r="F1261" s="13"/>
      <c r="G1261" s="13" t="s">
        <v>82</v>
      </c>
      <c r="H1261" s="13" t="s">
        <v>83</v>
      </c>
      <c r="I1261" s="13" t="s">
        <v>26</v>
      </c>
      <c r="J1261" s="17">
        <f t="shared" si="19"/>
        <v>74996.235522999996</v>
      </c>
      <c r="K1261" s="15" t="s">
        <v>16</v>
      </c>
      <c r="L1261" s="13"/>
      <c r="M1261" s="13"/>
      <c r="N1261" s="14"/>
    </row>
    <row r="1262" spans="1:14" x14ac:dyDescent="0.35">
      <c r="A1262" s="16" t="s">
        <v>90</v>
      </c>
      <c r="B1262" s="13" t="s">
        <v>91</v>
      </c>
      <c r="C1262" s="12">
        <v>45924</v>
      </c>
      <c r="D1262" s="8">
        <v>274.80200000000002</v>
      </c>
      <c r="E1262" s="8">
        <v>163.74600000000001</v>
      </c>
      <c r="F1262" s="13"/>
      <c r="G1262" s="13" t="s">
        <v>82</v>
      </c>
      <c r="H1262" s="13"/>
      <c r="I1262" s="13" t="s">
        <v>92</v>
      </c>
      <c r="J1262" s="17">
        <f t="shared" si="19"/>
        <v>44997.728292000007</v>
      </c>
      <c r="K1262" s="15" t="s">
        <v>16</v>
      </c>
      <c r="L1262" s="13"/>
      <c r="M1262" s="13"/>
      <c r="N1262" s="14"/>
    </row>
    <row r="1263" spans="1:14" x14ac:dyDescent="0.35">
      <c r="A1263" s="16" t="s">
        <v>81</v>
      </c>
      <c r="B1263" s="13" t="s">
        <v>25</v>
      </c>
      <c r="C1263" s="12">
        <v>45925</v>
      </c>
      <c r="D1263" s="8">
        <v>482.93099999999998</v>
      </c>
      <c r="E1263" s="8">
        <v>93.176299999999998</v>
      </c>
      <c r="F1263" s="13"/>
      <c r="G1263" s="13" t="s">
        <v>82</v>
      </c>
      <c r="H1263" s="13" t="s">
        <v>83</v>
      </c>
      <c r="I1263" s="13" t="s">
        <v>26</v>
      </c>
      <c r="J1263" s="17">
        <f t="shared" si="19"/>
        <v>44997.723735299995</v>
      </c>
      <c r="K1263" s="15" t="s">
        <v>16</v>
      </c>
      <c r="L1263" s="13"/>
      <c r="M1263" s="13"/>
      <c r="N1263" s="14"/>
    </row>
    <row r="1264" spans="1:14" x14ac:dyDescent="0.35">
      <c r="A1264" s="16" t="s">
        <v>90</v>
      </c>
      <c r="B1264" s="13" t="s">
        <v>91</v>
      </c>
      <c r="C1264" s="12">
        <v>45925</v>
      </c>
      <c r="D1264" s="8">
        <v>153.71199999999999</v>
      </c>
      <c r="E1264" s="8">
        <v>162.63399999999999</v>
      </c>
      <c r="F1264" s="13"/>
      <c r="G1264" s="13" t="s">
        <v>82</v>
      </c>
      <c r="H1264" s="13"/>
      <c r="I1264" s="13" t="s">
        <v>92</v>
      </c>
      <c r="J1264" s="17">
        <f t="shared" si="19"/>
        <v>24998.797407999995</v>
      </c>
      <c r="K1264" s="15" t="s">
        <v>16</v>
      </c>
      <c r="L1264" s="13"/>
      <c r="M1264" s="13"/>
      <c r="N1264" s="14"/>
    </row>
    <row r="1265" spans="1:14" x14ac:dyDescent="0.35">
      <c r="A1265" s="16" t="s">
        <v>84</v>
      </c>
      <c r="B1265" s="13" t="s">
        <v>25</v>
      </c>
      <c r="C1265" s="12">
        <v>45925</v>
      </c>
      <c r="D1265" s="8">
        <v>482.93099999999998</v>
      </c>
      <c r="E1265" s="8">
        <v>93.176299999999998</v>
      </c>
      <c r="F1265" s="13"/>
      <c r="G1265" s="13" t="s">
        <v>85</v>
      </c>
      <c r="H1265" s="13" t="s">
        <v>83</v>
      </c>
      <c r="I1265" s="13" t="s">
        <v>26</v>
      </c>
      <c r="J1265" s="17">
        <f t="shared" si="19"/>
        <v>44997.723735299995</v>
      </c>
      <c r="K1265" s="15" t="s">
        <v>86</v>
      </c>
      <c r="L1265" s="13"/>
      <c r="M1265" s="13"/>
      <c r="N1265" s="14"/>
    </row>
    <row r="1266" spans="1:14" x14ac:dyDescent="0.35">
      <c r="A1266" s="16" t="s">
        <v>81</v>
      </c>
      <c r="B1266" s="13" t="s">
        <v>25</v>
      </c>
      <c r="C1266" s="12">
        <v>45926</v>
      </c>
      <c r="D1266" s="8">
        <v>274.25700000000001</v>
      </c>
      <c r="E1266" s="8">
        <v>92.609399999999994</v>
      </c>
      <c r="F1266" s="13"/>
      <c r="G1266" s="13" t="s">
        <v>82</v>
      </c>
      <c r="H1266" s="13" t="s">
        <v>83</v>
      </c>
      <c r="I1266" s="13" t="s">
        <v>26</v>
      </c>
      <c r="J1266" s="17">
        <f t="shared" si="19"/>
        <v>25398.776215800001</v>
      </c>
      <c r="K1266" s="15" t="s">
        <v>16</v>
      </c>
      <c r="L1266" s="13"/>
      <c r="M1266" s="13"/>
      <c r="N1266" s="14"/>
    </row>
    <row r="1267" spans="1:14" x14ac:dyDescent="0.35">
      <c r="A1267" s="16" t="s">
        <v>90</v>
      </c>
      <c r="B1267" s="13" t="s">
        <v>91</v>
      </c>
      <c r="C1267" s="12">
        <v>45926</v>
      </c>
      <c r="D1267" s="8">
        <v>172.07</v>
      </c>
      <c r="E1267" s="8">
        <v>159.95599999999999</v>
      </c>
      <c r="F1267" s="13"/>
      <c r="G1267" s="13" t="s">
        <v>82</v>
      </c>
      <c r="H1267" s="13"/>
      <c r="I1267" s="13" t="s">
        <v>92</v>
      </c>
      <c r="J1267" s="17">
        <f t="shared" si="19"/>
        <v>27523.628919999996</v>
      </c>
      <c r="K1267" s="15" t="s">
        <v>16</v>
      </c>
      <c r="L1267" s="13"/>
      <c r="M1267" s="13"/>
      <c r="N1267" s="14"/>
    </row>
    <row r="1268" spans="1:14" x14ac:dyDescent="0.35">
      <c r="A1268" s="16" t="s">
        <v>84</v>
      </c>
      <c r="B1268" s="13" t="s">
        <v>25</v>
      </c>
      <c r="C1268" s="12">
        <v>45926</v>
      </c>
      <c r="D1268" s="8">
        <v>98.257000000000005</v>
      </c>
      <c r="E1268" s="8">
        <v>92.609399999999994</v>
      </c>
      <c r="F1268" s="13"/>
      <c r="G1268" s="13" t="s">
        <v>85</v>
      </c>
      <c r="H1268" s="13" t="s">
        <v>83</v>
      </c>
      <c r="I1268" s="13" t="s">
        <v>26</v>
      </c>
      <c r="J1268" s="17">
        <f t="shared" si="19"/>
        <v>9099.5218158000007</v>
      </c>
      <c r="K1268" s="15" t="s">
        <v>86</v>
      </c>
      <c r="L1268" s="13"/>
      <c r="M1268" s="13"/>
      <c r="N1268" s="14"/>
    </row>
    <row r="1269" spans="1:14" x14ac:dyDescent="0.35">
      <c r="A1269" s="16" t="s">
        <v>33</v>
      </c>
      <c r="B1269" s="13" t="s">
        <v>25</v>
      </c>
      <c r="C1269" s="12">
        <v>45926</v>
      </c>
      <c r="D1269" s="8">
        <v>540.41999999999996</v>
      </c>
      <c r="E1269" s="8">
        <v>92.609399999999994</v>
      </c>
      <c r="F1269" s="13"/>
      <c r="G1269" s="13" t="s">
        <v>31</v>
      </c>
      <c r="H1269" s="13" t="s">
        <v>83</v>
      </c>
      <c r="I1269" s="13" t="s">
        <v>26</v>
      </c>
      <c r="J1269" s="17">
        <f t="shared" si="19"/>
        <v>50047.971947999991</v>
      </c>
      <c r="K1269" s="15" t="s">
        <v>32</v>
      </c>
      <c r="L1269" s="13"/>
      <c r="M1269" s="13"/>
      <c r="N1269" s="14"/>
    </row>
    <row r="1270" spans="1:14" x14ac:dyDescent="0.35">
      <c r="A1270" s="16" t="s">
        <v>87</v>
      </c>
      <c r="B1270" s="13" t="s">
        <v>18</v>
      </c>
      <c r="C1270" s="12">
        <v>45933</v>
      </c>
      <c r="D1270" s="8">
        <v>5.2949999999999999</v>
      </c>
      <c r="E1270" s="8">
        <v>189.0205</v>
      </c>
      <c r="F1270" s="13"/>
      <c r="G1270" s="13" t="s">
        <v>88</v>
      </c>
      <c r="H1270" s="13" t="s">
        <v>89</v>
      </c>
      <c r="I1270" s="13" t="s">
        <v>19</v>
      </c>
      <c r="J1270" s="17">
        <f t="shared" si="19"/>
        <v>1000.8635475</v>
      </c>
      <c r="K1270" s="15" t="s">
        <v>86</v>
      </c>
      <c r="L1270" s="13"/>
      <c r="M1270" s="13"/>
      <c r="N1270" s="14"/>
    </row>
    <row r="1271" spans="1:14" x14ac:dyDescent="0.35">
      <c r="A1271" s="16" t="s">
        <v>87</v>
      </c>
      <c r="B1271" s="13" t="s">
        <v>18</v>
      </c>
      <c r="C1271" s="12">
        <v>45939</v>
      </c>
      <c r="D1271" s="8">
        <v>5.31</v>
      </c>
      <c r="E1271" s="8">
        <v>188.51560000000001</v>
      </c>
      <c r="F1271" s="13"/>
      <c r="G1271" s="13" t="s">
        <v>88</v>
      </c>
      <c r="H1271" s="13" t="s">
        <v>89</v>
      </c>
      <c r="I1271" s="13" t="s">
        <v>19</v>
      </c>
      <c r="J1271" s="17">
        <f t="shared" si="19"/>
        <v>1001.017836</v>
      </c>
      <c r="K1271" s="15" t="s">
        <v>86</v>
      </c>
      <c r="L1271" s="13"/>
      <c r="M1271" s="13"/>
      <c r="N1271" s="14"/>
    </row>
    <row r="1272" spans="1:14" x14ac:dyDescent="0.35">
      <c r="A1272" s="16" t="s">
        <v>27</v>
      </c>
      <c r="B1272" s="13" t="s">
        <v>56</v>
      </c>
      <c r="C1272" s="12">
        <v>45943</v>
      </c>
      <c r="D1272" s="8">
        <v>51.811</v>
      </c>
      <c r="E1272" s="8">
        <v>19.3</v>
      </c>
      <c r="F1272" s="13"/>
      <c r="G1272" s="13" t="s">
        <v>13</v>
      </c>
      <c r="H1272" s="13" t="s">
        <v>40</v>
      </c>
      <c r="I1272" s="13" t="s">
        <v>57</v>
      </c>
      <c r="J1272" s="17">
        <f t="shared" si="19"/>
        <v>999.95230000000004</v>
      </c>
      <c r="K1272" s="15" t="s">
        <v>16</v>
      </c>
      <c r="L1272" s="13"/>
      <c r="M1272" s="13"/>
      <c r="N1272" s="14"/>
    </row>
    <row r="1273" spans="1:14" x14ac:dyDescent="0.35">
      <c r="A1273" s="16" t="s">
        <v>87</v>
      </c>
      <c r="B1273" s="13" t="s">
        <v>18</v>
      </c>
      <c r="C1273" s="12">
        <v>45946</v>
      </c>
      <c r="D1273" s="8">
        <v>5.2610000000000001</v>
      </c>
      <c r="E1273" s="8">
        <v>190.2517</v>
      </c>
      <c r="F1273" s="13"/>
      <c r="G1273" s="13" t="s">
        <v>88</v>
      </c>
      <c r="H1273" s="13" t="s">
        <v>89</v>
      </c>
      <c r="I1273" s="13" t="s">
        <v>19</v>
      </c>
      <c r="J1273" s="17">
        <f t="shared" si="19"/>
        <v>1000.9141937000001</v>
      </c>
      <c r="K1273" s="15" t="s">
        <v>86</v>
      </c>
      <c r="L1273" s="13"/>
      <c r="M1273" s="13"/>
      <c r="N1273" s="14"/>
    </row>
    <row r="1274" spans="1:14" x14ac:dyDescent="0.35">
      <c r="A1274" s="16" t="s">
        <v>93</v>
      </c>
      <c r="B1274" s="13" t="s">
        <v>91</v>
      </c>
      <c r="C1274" s="12">
        <v>45947</v>
      </c>
      <c r="D1274" s="8">
        <v>31.064</v>
      </c>
      <c r="E1274" s="8">
        <v>160.95099999999999</v>
      </c>
      <c r="F1274" s="13"/>
      <c r="G1274" s="13" t="s">
        <v>85</v>
      </c>
      <c r="H1274" s="13" t="s">
        <v>94</v>
      </c>
      <c r="I1274" s="13" t="s">
        <v>92</v>
      </c>
      <c r="J1274" s="17">
        <f t="shared" si="19"/>
        <v>4999.7818639999996</v>
      </c>
      <c r="K1274" s="15" t="s">
        <v>86</v>
      </c>
      <c r="L1274" s="13"/>
      <c r="M1274" s="13"/>
      <c r="N1274" s="14"/>
    </row>
    <row r="1275" spans="1:14" x14ac:dyDescent="0.35">
      <c r="A1275" s="16" t="s">
        <v>93</v>
      </c>
      <c r="B1275" s="13" t="s">
        <v>95</v>
      </c>
      <c r="C1275" s="12">
        <v>45947</v>
      </c>
      <c r="D1275" s="8">
        <v>122.601</v>
      </c>
      <c r="E1275" s="8">
        <v>40.780500000000004</v>
      </c>
      <c r="F1275" s="13"/>
      <c r="G1275" s="13" t="s">
        <v>85</v>
      </c>
      <c r="H1275" s="13" t="s">
        <v>96</v>
      </c>
      <c r="I1275" s="13" t="s">
        <v>97</v>
      </c>
      <c r="J1275" s="17">
        <f t="shared" si="19"/>
        <v>4999.7300805000004</v>
      </c>
      <c r="K1275" s="15" t="s">
        <v>86</v>
      </c>
      <c r="L1275" s="13"/>
      <c r="M1275" s="13"/>
      <c r="N1275" s="14"/>
    </row>
    <row r="1276" spans="1:14" x14ac:dyDescent="0.35">
      <c r="A1276" s="16" t="s">
        <v>93</v>
      </c>
      <c r="B1276" s="13" t="s">
        <v>95</v>
      </c>
      <c r="C1276" s="12">
        <v>45950</v>
      </c>
      <c r="D1276" s="8">
        <v>2906.8020000000001</v>
      </c>
      <c r="E1276" s="8">
        <v>39.818399999999997</v>
      </c>
      <c r="F1276" s="13"/>
      <c r="G1276" s="13" t="s">
        <v>85</v>
      </c>
      <c r="H1276" s="13" t="s">
        <v>96</v>
      </c>
      <c r="I1276" s="13" t="s">
        <v>97</v>
      </c>
      <c r="J1276" s="17">
        <f t="shared" si="19"/>
        <v>115744.2047568</v>
      </c>
      <c r="K1276" s="15" t="s">
        <v>86</v>
      </c>
      <c r="L1276" s="13"/>
      <c r="M1276" s="13"/>
      <c r="N1276" s="14"/>
    </row>
    <row r="1277" spans="1:14" x14ac:dyDescent="0.35">
      <c r="A1277" s="16" t="s">
        <v>74</v>
      </c>
      <c r="B1277" s="13" t="s">
        <v>42</v>
      </c>
      <c r="C1277" s="12">
        <v>45950</v>
      </c>
      <c r="D1277" s="8">
        <v>15.186999999999999</v>
      </c>
      <c r="E1277" s="8">
        <v>197.5258</v>
      </c>
      <c r="F1277" s="13"/>
      <c r="G1277" s="13" t="s">
        <v>31</v>
      </c>
      <c r="H1277" s="13" t="s">
        <v>40</v>
      </c>
      <c r="I1277" s="13" t="s">
        <v>43</v>
      </c>
      <c r="J1277" s="17">
        <f t="shared" si="19"/>
        <v>2999.8243245999997</v>
      </c>
      <c r="K1277" s="15" t="s">
        <v>32</v>
      </c>
      <c r="L1277" s="13"/>
      <c r="M1277" s="13"/>
      <c r="N1277" s="14"/>
    </row>
    <row r="1278" spans="1:14" x14ac:dyDescent="0.35">
      <c r="A1278" s="16" t="s">
        <v>49</v>
      </c>
      <c r="B1278" s="13" t="s">
        <v>39</v>
      </c>
      <c r="C1278" s="12">
        <v>45950</v>
      </c>
      <c r="D1278" s="8">
        <v>14.253</v>
      </c>
      <c r="E1278" s="8">
        <v>175.39400000000001</v>
      </c>
      <c r="F1278" s="13"/>
      <c r="G1278" s="13" t="s">
        <v>31</v>
      </c>
      <c r="H1278" s="13" t="s">
        <v>40</v>
      </c>
      <c r="I1278" s="13" t="s">
        <v>41</v>
      </c>
      <c r="J1278" s="17">
        <f t="shared" si="19"/>
        <v>2499.8906820000002</v>
      </c>
      <c r="K1278" s="15" t="s">
        <v>32</v>
      </c>
      <c r="L1278" s="13"/>
      <c r="M1278" s="13"/>
      <c r="N1278" s="14"/>
    </row>
    <row r="1279" spans="1:14" x14ac:dyDescent="0.35">
      <c r="A1279" s="16" t="s">
        <v>87</v>
      </c>
      <c r="B1279" s="13" t="s">
        <v>18</v>
      </c>
      <c r="C1279" s="12">
        <v>45953</v>
      </c>
      <c r="D1279" s="8">
        <v>5.2160000000000002</v>
      </c>
      <c r="E1279" s="8">
        <v>191.89869999999999</v>
      </c>
      <c r="F1279" s="13"/>
      <c r="G1279" s="13" t="s">
        <v>88</v>
      </c>
      <c r="H1279" s="13" t="s">
        <v>89</v>
      </c>
      <c r="I1279" s="13" t="s">
        <v>19</v>
      </c>
      <c r="J1279" s="17">
        <f t="shared" si="19"/>
        <v>1000.9436191999999</v>
      </c>
      <c r="K1279" s="15" t="s">
        <v>86</v>
      </c>
      <c r="L1279" s="13"/>
      <c r="M1279" s="13"/>
      <c r="N1279" s="14"/>
    </row>
    <row r="1280" spans="1:14" x14ac:dyDescent="0.35">
      <c r="A1280" s="16" t="s">
        <v>65</v>
      </c>
      <c r="B1280" s="13" t="s">
        <v>54</v>
      </c>
      <c r="C1280" s="12">
        <v>45957</v>
      </c>
      <c r="D1280" s="8">
        <v>125.07</v>
      </c>
      <c r="E1280" s="8">
        <v>39.975999999999999</v>
      </c>
      <c r="F1280" s="13"/>
      <c r="G1280" s="13" t="s">
        <v>38</v>
      </c>
      <c r="H1280" s="13" t="s">
        <v>66</v>
      </c>
      <c r="I1280" s="13" t="s">
        <v>55</v>
      </c>
      <c r="J1280" s="17">
        <f t="shared" si="19"/>
        <v>4999.7983199999999</v>
      </c>
      <c r="K1280" s="15" t="s">
        <v>16</v>
      </c>
      <c r="L1280" s="13"/>
      <c r="M1280" s="13"/>
      <c r="N1280" s="14"/>
    </row>
    <row r="1281" spans="1:14" x14ac:dyDescent="0.35">
      <c r="A1281" s="16" t="s">
        <v>67</v>
      </c>
      <c r="B1281" s="13" t="s">
        <v>54</v>
      </c>
      <c r="C1281" s="12">
        <v>45957</v>
      </c>
      <c r="D1281" s="8">
        <v>39.975999999999999</v>
      </c>
      <c r="E1281" s="8">
        <v>125.07</v>
      </c>
      <c r="F1281" s="13"/>
      <c r="G1281" s="13" t="s">
        <v>38</v>
      </c>
      <c r="H1281" s="13" t="s">
        <v>68</v>
      </c>
      <c r="I1281" s="13" t="s">
        <v>55</v>
      </c>
      <c r="J1281" s="17">
        <f t="shared" si="19"/>
        <v>4999.7983199999999</v>
      </c>
      <c r="K1281" s="15" t="s">
        <v>16</v>
      </c>
      <c r="L1281" s="13"/>
      <c r="M1281" s="13"/>
      <c r="N1281" s="14"/>
    </row>
    <row r="1282" spans="1:14" x14ac:dyDescent="0.35">
      <c r="A1282" s="16" t="s">
        <v>93</v>
      </c>
      <c r="B1282" s="13" t="s">
        <v>91</v>
      </c>
      <c r="C1282" s="12">
        <v>45957</v>
      </c>
      <c r="D1282" s="8">
        <v>30.46</v>
      </c>
      <c r="E1282" s="8">
        <v>164.14</v>
      </c>
      <c r="F1282" s="13"/>
      <c r="G1282" s="13" t="s">
        <v>85</v>
      </c>
      <c r="H1282" s="13" t="s">
        <v>94</v>
      </c>
      <c r="I1282" s="13" t="s">
        <v>92</v>
      </c>
      <c r="J1282" s="17">
        <f t="shared" ref="J1282:J1345" si="20">D1282*E1282</f>
        <v>4999.7043999999996</v>
      </c>
      <c r="K1282" s="15" t="s">
        <v>86</v>
      </c>
      <c r="L1282" s="13"/>
      <c r="M1282" s="13"/>
      <c r="N1282" s="14"/>
    </row>
    <row r="1283" spans="1:14" x14ac:dyDescent="0.35">
      <c r="A1283" s="16" t="s">
        <v>93</v>
      </c>
      <c r="B1283" s="13" t="s">
        <v>95</v>
      </c>
      <c r="C1283" s="12">
        <v>45957</v>
      </c>
      <c r="D1283" s="8">
        <v>132.511</v>
      </c>
      <c r="E1283" s="8">
        <v>37.730699999999999</v>
      </c>
      <c r="F1283" s="13"/>
      <c r="G1283" s="13" t="s">
        <v>85</v>
      </c>
      <c r="H1283" s="13" t="s">
        <v>96</v>
      </c>
      <c r="I1283" s="13" t="s">
        <v>97</v>
      </c>
      <c r="J1283" s="17">
        <f t="shared" si="20"/>
        <v>4999.7327876999998</v>
      </c>
      <c r="K1283" s="15" t="s">
        <v>86</v>
      </c>
      <c r="L1283" s="13"/>
      <c r="M1283" s="13"/>
      <c r="N1283" s="14"/>
    </row>
    <row r="1284" spans="1:14" x14ac:dyDescent="0.35">
      <c r="A1284" s="16" t="s">
        <v>93</v>
      </c>
      <c r="B1284" s="13" t="s">
        <v>91</v>
      </c>
      <c r="C1284" s="12">
        <v>45958</v>
      </c>
      <c r="D1284" s="8">
        <v>91.423000000000002</v>
      </c>
      <c r="E1284" s="8">
        <v>164.065</v>
      </c>
      <c r="F1284" s="13"/>
      <c r="G1284" s="13" t="s">
        <v>85</v>
      </c>
      <c r="H1284" s="13" t="s">
        <v>94</v>
      </c>
      <c r="I1284" s="13" t="s">
        <v>92</v>
      </c>
      <c r="J1284" s="17">
        <f t="shared" si="20"/>
        <v>14999.314495000001</v>
      </c>
      <c r="K1284" s="15" t="s">
        <v>86</v>
      </c>
      <c r="L1284" s="13"/>
      <c r="M1284" s="13"/>
      <c r="N1284" s="14"/>
    </row>
    <row r="1285" spans="1:14" x14ac:dyDescent="0.35">
      <c r="A1285" s="16" t="s">
        <v>87</v>
      </c>
      <c r="B1285" s="13" t="s">
        <v>18</v>
      </c>
      <c r="C1285" s="12">
        <v>45965</v>
      </c>
      <c r="D1285" s="8">
        <v>5.1929999999999996</v>
      </c>
      <c r="E1285" s="8">
        <v>192.7484</v>
      </c>
      <c r="F1285" s="13"/>
      <c r="G1285" s="13" t="s">
        <v>88</v>
      </c>
      <c r="H1285" s="13" t="s">
        <v>89</v>
      </c>
      <c r="I1285" s="13" t="s">
        <v>19</v>
      </c>
      <c r="J1285" s="17">
        <f t="shared" si="20"/>
        <v>1000.9424412</v>
      </c>
      <c r="K1285" s="15" t="s">
        <v>86</v>
      </c>
      <c r="L1285" s="13"/>
      <c r="M1285" s="13"/>
      <c r="N1285" s="14"/>
    </row>
    <row r="1286" spans="1:14" x14ac:dyDescent="0.35">
      <c r="A1286" s="16" t="s">
        <v>27</v>
      </c>
      <c r="B1286" s="13" t="s">
        <v>71</v>
      </c>
      <c r="C1286" s="12">
        <v>45967</v>
      </c>
      <c r="D1286" s="8">
        <v>464.661</v>
      </c>
      <c r="E1286" s="8">
        <v>43.04</v>
      </c>
      <c r="F1286" s="13"/>
      <c r="G1286" s="13" t="s">
        <v>13</v>
      </c>
      <c r="H1286" s="13" t="s">
        <v>72</v>
      </c>
      <c r="I1286" s="13" t="s">
        <v>73</v>
      </c>
      <c r="J1286" s="17">
        <f t="shared" si="20"/>
        <v>19999.009439999998</v>
      </c>
      <c r="K1286" s="15" t="s">
        <v>16</v>
      </c>
      <c r="L1286" s="13"/>
      <c r="M1286" s="13"/>
      <c r="N1286" s="14"/>
    </row>
    <row r="1287" spans="1:14" x14ac:dyDescent="0.35">
      <c r="A1287" s="16" t="s">
        <v>93</v>
      </c>
      <c r="B1287" s="13" t="s">
        <v>91</v>
      </c>
      <c r="C1287" s="12">
        <v>45967</v>
      </c>
      <c r="D1287" s="8">
        <v>154.33600000000001</v>
      </c>
      <c r="E1287" s="8">
        <v>162.30000000000001</v>
      </c>
      <c r="F1287" s="13"/>
      <c r="G1287" s="13" t="s">
        <v>85</v>
      </c>
      <c r="H1287" s="13" t="s">
        <v>94</v>
      </c>
      <c r="I1287" s="13" t="s">
        <v>92</v>
      </c>
      <c r="J1287" s="17">
        <f t="shared" si="20"/>
        <v>25048.732800000005</v>
      </c>
      <c r="K1287" s="15" t="s">
        <v>86</v>
      </c>
      <c r="L1287" s="13"/>
      <c r="M1287" s="13"/>
      <c r="N1287" s="14"/>
    </row>
    <row r="1288" spans="1:14" x14ac:dyDescent="0.35">
      <c r="A1288" s="16" t="s">
        <v>84</v>
      </c>
      <c r="B1288" s="13" t="s">
        <v>25</v>
      </c>
      <c r="C1288" s="12">
        <v>45968</v>
      </c>
      <c r="D1288" s="8">
        <v>481.09300000000002</v>
      </c>
      <c r="E1288" s="8">
        <v>93.5428</v>
      </c>
      <c r="F1288" s="13"/>
      <c r="G1288" s="13" t="s">
        <v>85</v>
      </c>
      <c r="H1288" s="13" t="s">
        <v>83</v>
      </c>
      <c r="I1288" s="13" t="s">
        <v>26</v>
      </c>
      <c r="J1288" s="17">
        <f t="shared" si="20"/>
        <v>45002.786280400003</v>
      </c>
      <c r="K1288" s="15" t="s">
        <v>86</v>
      </c>
      <c r="L1288" s="13"/>
      <c r="M1288" s="13"/>
      <c r="N1288" s="14"/>
    </row>
    <row r="1289" spans="1:14" x14ac:dyDescent="0.35">
      <c r="A1289" s="16" t="s">
        <v>93</v>
      </c>
      <c r="B1289" s="13" t="s">
        <v>91</v>
      </c>
      <c r="C1289" s="12">
        <v>45968</v>
      </c>
      <c r="D1289" s="8">
        <v>154.41399999999999</v>
      </c>
      <c r="E1289" s="8">
        <v>161.89400000000001</v>
      </c>
      <c r="F1289" s="13"/>
      <c r="G1289" s="13" t="s">
        <v>85</v>
      </c>
      <c r="H1289" s="13" t="s">
        <v>94</v>
      </c>
      <c r="I1289" s="13" t="s">
        <v>92</v>
      </c>
      <c r="J1289" s="17">
        <f t="shared" si="20"/>
        <v>24998.700116</v>
      </c>
      <c r="K1289" s="15" t="s">
        <v>86</v>
      </c>
      <c r="L1289" s="13"/>
      <c r="M1289" s="13"/>
      <c r="N1289" s="14"/>
    </row>
    <row r="1290" spans="1:14" x14ac:dyDescent="0.35">
      <c r="A1290" s="16" t="s">
        <v>93</v>
      </c>
      <c r="B1290" s="13" t="s">
        <v>95</v>
      </c>
      <c r="C1290" s="12">
        <v>45968</v>
      </c>
      <c r="D1290" s="8">
        <v>132.52600000000001</v>
      </c>
      <c r="E1290" s="8">
        <v>37.726599999999998</v>
      </c>
      <c r="F1290" s="13"/>
      <c r="G1290" s="13" t="s">
        <v>85</v>
      </c>
      <c r="H1290" s="13" t="s">
        <v>96</v>
      </c>
      <c r="I1290" s="13" t="s">
        <v>97</v>
      </c>
      <c r="J1290" s="17">
        <f t="shared" si="20"/>
        <v>4999.7553915999997</v>
      </c>
      <c r="K1290" s="15" t="s">
        <v>86</v>
      </c>
      <c r="L1290" s="13"/>
      <c r="M1290" s="13"/>
      <c r="N1290" s="14"/>
    </row>
    <row r="1291" spans="1:14" x14ac:dyDescent="0.35">
      <c r="A1291" s="16" t="s">
        <v>84</v>
      </c>
      <c r="B1291" s="13" t="s">
        <v>25</v>
      </c>
      <c r="C1291" s="12">
        <v>45971</v>
      </c>
      <c r="D1291" s="8">
        <v>265.78100000000001</v>
      </c>
      <c r="E1291" s="8">
        <v>94.076499999999996</v>
      </c>
      <c r="F1291" s="13"/>
      <c r="G1291" s="13" t="s">
        <v>85</v>
      </c>
      <c r="H1291" s="13" t="s">
        <v>83</v>
      </c>
      <c r="I1291" s="13" t="s">
        <v>26</v>
      </c>
      <c r="J1291" s="17">
        <f t="shared" si="20"/>
        <v>25003.746246499999</v>
      </c>
      <c r="K1291" s="15" t="s">
        <v>86</v>
      </c>
      <c r="L1291" s="13"/>
      <c r="M1291" s="13"/>
      <c r="N1291" s="14"/>
    </row>
    <row r="1292" spans="1:14" x14ac:dyDescent="0.35">
      <c r="A1292" s="16" t="s">
        <v>27</v>
      </c>
      <c r="B1292" s="13" t="s">
        <v>56</v>
      </c>
      <c r="C1292" s="12">
        <v>45972</v>
      </c>
      <c r="D1292" s="8">
        <v>50.476999999999997</v>
      </c>
      <c r="E1292" s="8">
        <v>19.809999999999999</v>
      </c>
      <c r="F1292" s="13"/>
      <c r="G1292" s="13" t="s">
        <v>13</v>
      </c>
      <c r="H1292" s="13" t="s">
        <v>40</v>
      </c>
      <c r="I1292" s="13" t="s">
        <v>57</v>
      </c>
      <c r="J1292" s="17">
        <f t="shared" si="20"/>
        <v>999.94936999999982</v>
      </c>
      <c r="K1292" s="15" t="s">
        <v>16</v>
      </c>
      <c r="L1292" s="13"/>
      <c r="M1292" s="13"/>
      <c r="N1292" s="14"/>
    </row>
    <row r="1293" spans="1:14" x14ac:dyDescent="0.35">
      <c r="A1293" s="16" t="s">
        <v>87</v>
      </c>
      <c r="B1293" s="13" t="s">
        <v>18</v>
      </c>
      <c r="C1293" s="12">
        <v>45972</v>
      </c>
      <c r="D1293" s="8">
        <v>5.2750000000000004</v>
      </c>
      <c r="E1293" s="8">
        <v>189.73670000000001</v>
      </c>
      <c r="F1293" s="13"/>
      <c r="G1293" s="13" t="s">
        <v>88</v>
      </c>
      <c r="H1293" s="13" t="s">
        <v>89</v>
      </c>
      <c r="I1293" s="13" t="s">
        <v>19</v>
      </c>
      <c r="J1293" s="17">
        <f t="shared" si="20"/>
        <v>1000.8610925000002</v>
      </c>
      <c r="K1293" s="15" t="s">
        <v>86</v>
      </c>
      <c r="L1293" s="13"/>
      <c r="M1293" s="13"/>
      <c r="N1293" s="14"/>
    </row>
    <row r="1294" spans="1:14" x14ac:dyDescent="0.35">
      <c r="A1294" s="16" t="s">
        <v>93</v>
      </c>
      <c r="B1294" s="13" t="s">
        <v>91</v>
      </c>
      <c r="C1294" s="12">
        <v>45978</v>
      </c>
      <c r="D1294" s="8">
        <v>153.268</v>
      </c>
      <c r="E1294" s="8">
        <v>163.10499999999999</v>
      </c>
      <c r="F1294" s="13"/>
      <c r="G1294" s="13" t="s">
        <v>85</v>
      </c>
      <c r="H1294" s="13" t="s">
        <v>94</v>
      </c>
      <c r="I1294" s="13" t="s">
        <v>92</v>
      </c>
      <c r="J1294" s="17">
        <f t="shared" si="20"/>
        <v>24998.777139999998</v>
      </c>
      <c r="K1294" s="15" t="s">
        <v>86</v>
      </c>
      <c r="L1294" s="13"/>
      <c r="M1294" s="13"/>
      <c r="N1294" s="14"/>
    </row>
    <row r="1295" spans="1:14" x14ac:dyDescent="0.35">
      <c r="A1295" s="16" t="s">
        <v>93</v>
      </c>
      <c r="B1295" s="13" t="s">
        <v>91</v>
      </c>
      <c r="C1295" s="12">
        <v>45979</v>
      </c>
      <c r="D1295" s="8">
        <v>308.79599999999999</v>
      </c>
      <c r="E1295" s="8">
        <v>161.911</v>
      </c>
      <c r="F1295" s="13"/>
      <c r="G1295" s="13" t="s">
        <v>85</v>
      </c>
      <c r="H1295" s="13" t="s">
        <v>94</v>
      </c>
      <c r="I1295" s="13" t="s">
        <v>92</v>
      </c>
      <c r="J1295" s="17">
        <f t="shared" si="20"/>
        <v>49997.469155999999</v>
      </c>
      <c r="K1295" s="15" t="s">
        <v>86</v>
      </c>
      <c r="L1295" s="13"/>
      <c r="M1295" s="13"/>
      <c r="N1295" s="14"/>
    </row>
    <row r="1296" spans="1:14" x14ac:dyDescent="0.35">
      <c r="A1296" s="16" t="s">
        <v>87</v>
      </c>
      <c r="B1296" s="13" t="s">
        <v>18</v>
      </c>
      <c r="C1296" s="12">
        <v>45979</v>
      </c>
      <c r="D1296" s="8">
        <v>5.2249999999999996</v>
      </c>
      <c r="E1296" s="8">
        <v>191.56970000000001</v>
      </c>
      <c r="F1296" s="13"/>
      <c r="G1296" s="13" t="s">
        <v>88</v>
      </c>
      <c r="H1296" s="13" t="s">
        <v>89</v>
      </c>
      <c r="I1296" s="13" t="s">
        <v>19</v>
      </c>
      <c r="J1296" s="17">
        <f t="shared" si="20"/>
        <v>1000.9516824999999</v>
      </c>
      <c r="K1296" s="15" t="s">
        <v>86</v>
      </c>
      <c r="L1296" s="13"/>
      <c r="M1296" s="13"/>
      <c r="N1296" s="14"/>
    </row>
    <row r="1297" spans="1:14" x14ac:dyDescent="0.35">
      <c r="A1297" s="16" t="s">
        <v>49</v>
      </c>
      <c r="B1297" s="13" t="s">
        <v>39</v>
      </c>
      <c r="C1297" s="12">
        <v>45979</v>
      </c>
      <c r="D1297" s="8">
        <v>14.076000000000001</v>
      </c>
      <c r="E1297" s="8">
        <v>177.60499999999999</v>
      </c>
      <c r="F1297" s="13"/>
      <c r="G1297" s="13" t="s">
        <v>31</v>
      </c>
      <c r="H1297" s="13" t="s">
        <v>40</v>
      </c>
      <c r="I1297" s="13" t="s">
        <v>41</v>
      </c>
      <c r="J1297" s="17">
        <f t="shared" si="20"/>
        <v>2499.9679799999999</v>
      </c>
      <c r="K1297" s="15" t="s">
        <v>32</v>
      </c>
      <c r="L1297" s="13"/>
      <c r="M1297" s="13"/>
      <c r="N1297" s="14"/>
    </row>
    <row r="1298" spans="1:14" x14ac:dyDescent="0.35">
      <c r="A1298" s="16" t="s">
        <v>81</v>
      </c>
      <c r="B1298" s="13" t="s">
        <v>25</v>
      </c>
      <c r="C1298" s="25">
        <v>45980</v>
      </c>
      <c r="D1298" s="8">
        <v>561.96</v>
      </c>
      <c r="E1298" s="8">
        <v>94.308599999999998</v>
      </c>
      <c r="F1298" s="13">
        <v>52134683199</v>
      </c>
      <c r="G1298" s="13" t="s">
        <v>82</v>
      </c>
      <c r="H1298" s="13" t="s">
        <v>83</v>
      </c>
      <c r="I1298" s="13" t="s">
        <v>26</v>
      </c>
      <c r="J1298" s="17">
        <f t="shared" si="20"/>
        <v>52997.660856000002</v>
      </c>
      <c r="K1298" s="15" t="s">
        <v>16</v>
      </c>
      <c r="L1298" s="13"/>
      <c r="M1298" s="13"/>
      <c r="N1298" s="14"/>
    </row>
    <row r="1299" spans="1:14" x14ac:dyDescent="0.35">
      <c r="A1299" s="16" t="s">
        <v>84</v>
      </c>
      <c r="B1299" s="13" t="s">
        <v>25</v>
      </c>
      <c r="C1299" s="12">
        <v>45980</v>
      </c>
      <c r="D1299" s="8">
        <v>261.15100000000001</v>
      </c>
      <c r="E1299" s="8">
        <v>94.308599999999998</v>
      </c>
      <c r="F1299" s="13"/>
      <c r="G1299" s="13" t="s">
        <v>85</v>
      </c>
      <c r="H1299" s="13" t="s">
        <v>83</v>
      </c>
      <c r="I1299" s="13" t="s">
        <v>26</v>
      </c>
      <c r="J1299" s="17">
        <f t="shared" si="20"/>
        <v>24628.785198600002</v>
      </c>
      <c r="K1299" s="15" t="s">
        <v>86</v>
      </c>
      <c r="L1299" s="13"/>
      <c r="M1299" s="13"/>
      <c r="N1299" s="14"/>
    </row>
    <row r="1300" spans="1:14" x14ac:dyDescent="0.35">
      <c r="A1300" s="16" t="s">
        <v>74</v>
      </c>
      <c r="B1300" s="13" t="s">
        <v>42</v>
      </c>
      <c r="C1300" s="12">
        <v>45980</v>
      </c>
      <c r="D1300" s="8">
        <v>15.263999999999999</v>
      </c>
      <c r="E1300" s="8">
        <v>196.52799999999999</v>
      </c>
      <c r="F1300" s="13"/>
      <c r="G1300" s="13" t="s">
        <v>31</v>
      </c>
      <c r="H1300" s="13" t="s">
        <v>40</v>
      </c>
      <c r="I1300" s="13" t="s">
        <v>43</v>
      </c>
      <c r="J1300" s="17">
        <f t="shared" si="20"/>
        <v>2999.8033919999998</v>
      </c>
      <c r="K1300" s="15" t="s">
        <v>32</v>
      </c>
      <c r="L1300" s="13"/>
      <c r="M1300" s="13"/>
      <c r="N1300" s="14"/>
    </row>
    <row r="1301" spans="1:14" x14ac:dyDescent="0.35">
      <c r="A1301" s="16" t="s">
        <v>81</v>
      </c>
      <c r="B1301" s="13" t="s">
        <v>25</v>
      </c>
      <c r="C1301" s="25">
        <v>45981</v>
      </c>
      <c r="D1301" s="8">
        <v>529.64</v>
      </c>
      <c r="E1301" s="8">
        <v>94.418000000000006</v>
      </c>
      <c r="F1301" s="13">
        <v>52134925391</v>
      </c>
      <c r="G1301" s="13" t="s">
        <v>82</v>
      </c>
      <c r="H1301" s="13" t="s">
        <v>83</v>
      </c>
      <c r="I1301" s="13" t="s">
        <v>26</v>
      </c>
      <c r="J1301" s="17">
        <f t="shared" si="20"/>
        <v>50007.54952</v>
      </c>
      <c r="K1301" s="15" t="s">
        <v>16</v>
      </c>
      <c r="L1301" s="13"/>
      <c r="M1301" s="13"/>
      <c r="N1301" s="14"/>
    </row>
    <row r="1302" spans="1:14" x14ac:dyDescent="0.35">
      <c r="A1302" s="16" t="s">
        <v>84</v>
      </c>
      <c r="B1302" s="13" t="s">
        <v>25</v>
      </c>
      <c r="C1302" s="12">
        <v>45981</v>
      </c>
      <c r="D1302" s="8">
        <v>64.179000000000002</v>
      </c>
      <c r="E1302" s="8">
        <v>94.418000000000006</v>
      </c>
      <c r="F1302" s="13"/>
      <c r="G1302" s="13" t="s">
        <v>85</v>
      </c>
      <c r="H1302" s="13" t="s">
        <v>83</v>
      </c>
      <c r="I1302" s="13" t="s">
        <v>26</v>
      </c>
      <c r="J1302" s="17">
        <f t="shared" si="20"/>
        <v>6059.6528220000009</v>
      </c>
      <c r="K1302" s="15" t="s">
        <v>86</v>
      </c>
      <c r="L1302" s="13"/>
      <c r="M1302" s="13"/>
      <c r="N1302" s="14"/>
    </row>
    <row r="1303" spans="1:14" x14ac:dyDescent="0.35">
      <c r="A1303" s="16" t="s">
        <v>93</v>
      </c>
      <c r="B1303" s="13" t="s">
        <v>95</v>
      </c>
      <c r="C1303" s="12">
        <v>45982</v>
      </c>
      <c r="D1303" s="8">
        <v>129.87100000000001</v>
      </c>
      <c r="E1303" s="8">
        <v>38.497900000000001</v>
      </c>
      <c r="F1303" s="13"/>
      <c r="G1303" s="13" t="s">
        <v>85</v>
      </c>
      <c r="H1303" s="13" t="s">
        <v>96</v>
      </c>
      <c r="I1303" s="13" t="s">
        <v>97</v>
      </c>
      <c r="J1303" s="17">
        <f t="shared" si="20"/>
        <v>4999.7607709000004</v>
      </c>
      <c r="K1303" s="15" t="s">
        <v>86</v>
      </c>
      <c r="L1303" s="13"/>
      <c r="M1303" s="13"/>
      <c r="N1303" s="14"/>
    </row>
    <row r="1304" spans="1:14" x14ac:dyDescent="0.35">
      <c r="A1304" s="16" t="s">
        <v>81</v>
      </c>
      <c r="B1304" s="13" t="s">
        <v>25</v>
      </c>
      <c r="C1304" s="25">
        <v>45985</v>
      </c>
      <c r="D1304" s="8">
        <v>1059.1099999999999</v>
      </c>
      <c r="E1304" s="8">
        <v>94.423299999999998</v>
      </c>
      <c r="F1304" s="13">
        <v>52135200008</v>
      </c>
      <c r="G1304" s="13" t="s">
        <v>82</v>
      </c>
      <c r="H1304" s="13" t="s">
        <v>83</v>
      </c>
      <c r="I1304" s="13" t="s">
        <v>26</v>
      </c>
      <c r="J1304" s="17">
        <f t="shared" si="20"/>
        <v>100004.66126299999</v>
      </c>
      <c r="K1304" s="15" t="s">
        <v>16</v>
      </c>
      <c r="L1304" s="13"/>
      <c r="M1304" s="13"/>
      <c r="N1304" s="14"/>
    </row>
    <row r="1305" spans="1:14" x14ac:dyDescent="0.35">
      <c r="A1305" s="16" t="s">
        <v>84</v>
      </c>
      <c r="B1305" s="13" t="s">
        <v>25</v>
      </c>
      <c r="C1305" s="12">
        <v>45985</v>
      </c>
      <c r="D1305" s="8">
        <v>583.03700000000003</v>
      </c>
      <c r="E1305" s="8">
        <v>94.423299999999998</v>
      </c>
      <c r="F1305" s="13"/>
      <c r="G1305" s="13" t="s">
        <v>85</v>
      </c>
      <c r="H1305" s="13" t="s">
        <v>83</v>
      </c>
      <c r="I1305" s="13" t="s">
        <v>26</v>
      </c>
      <c r="J1305" s="17">
        <f t="shared" si="20"/>
        <v>55052.277562100004</v>
      </c>
      <c r="K1305" s="15" t="s">
        <v>86</v>
      </c>
      <c r="L1305" s="13"/>
      <c r="M1305" s="13"/>
      <c r="N1305" s="14"/>
    </row>
    <row r="1306" spans="1:14" x14ac:dyDescent="0.35">
      <c r="A1306" s="16" t="s">
        <v>65</v>
      </c>
      <c r="B1306" s="13" t="s">
        <v>54</v>
      </c>
      <c r="C1306" s="12">
        <v>45986</v>
      </c>
      <c r="D1306" s="8">
        <v>124.24</v>
      </c>
      <c r="E1306" s="8">
        <v>40.243000000000002</v>
      </c>
      <c r="F1306" s="13"/>
      <c r="G1306" s="13" t="s">
        <v>38</v>
      </c>
      <c r="H1306" s="13" t="s">
        <v>66</v>
      </c>
      <c r="I1306" s="13" t="s">
        <v>55</v>
      </c>
      <c r="J1306" s="17">
        <f t="shared" si="20"/>
        <v>4999.7903200000001</v>
      </c>
      <c r="K1306" s="15" t="s">
        <v>16</v>
      </c>
      <c r="L1306" s="13"/>
      <c r="M1306" s="13"/>
      <c r="N1306" s="14"/>
    </row>
    <row r="1307" spans="1:14" x14ac:dyDescent="0.35">
      <c r="A1307" s="16" t="s">
        <v>67</v>
      </c>
      <c r="B1307" s="13" t="s">
        <v>54</v>
      </c>
      <c r="C1307" s="12">
        <v>45986</v>
      </c>
      <c r="D1307" s="8">
        <v>40.243000000000002</v>
      </c>
      <c r="E1307" s="8">
        <v>124.24</v>
      </c>
      <c r="F1307" s="13"/>
      <c r="G1307" s="13" t="s">
        <v>38</v>
      </c>
      <c r="H1307" s="13" t="s">
        <v>68</v>
      </c>
      <c r="I1307" s="13" t="s">
        <v>55</v>
      </c>
      <c r="J1307" s="17">
        <f t="shared" si="20"/>
        <v>4999.7903200000001</v>
      </c>
      <c r="K1307" s="15" t="s">
        <v>16</v>
      </c>
      <c r="L1307" s="13"/>
      <c r="M1307" s="13"/>
      <c r="N1307" s="14"/>
    </row>
    <row r="1308" spans="1:14" x14ac:dyDescent="0.35">
      <c r="A1308" s="16" t="s">
        <v>84</v>
      </c>
      <c r="B1308" s="13" t="s">
        <v>25</v>
      </c>
      <c r="C1308" s="12">
        <v>45986</v>
      </c>
      <c r="D1308" s="8">
        <v>317.85199999999998</v>
      </c>
      <c r="E1308" s="8">
        <v>94.388400000000004</v>
      </c>
      <c r="F1308" s="13"/>
      <c r="G1308" s="13" t="s">
        <v>85</v>
      </c>
      <c r="H1308" s="13" t="s">
        <v>83</v>
      </c>
      <c r="I1308" s="13" t="s">
        <v>26</v>
      </c>
      <c r="J1308" s="17">
        <f t="shared" si="20"/>
        <v>30001.541716799999</v>
      </c>
      <c r="K1308" s="15" t="s">
        <v>86</v>
      </c>
      <c r="L1308" s="13"/>
      <c r="M1308" s="13"/>
      <c r="N1308" s="14"/>
    </row>
    <row r="1309" spans="1:14" x14ac:dyDescent="0.35">
      <c r="A1309" s="16" t="s">
        <v>87</v>
      </c>
      <c r="B1309" s="13" t="s">
        <v>18</v>
      </c>
      <c r="C1309" s="12">
        <v>45986</v>
      </c>
      <c r="D1309" s="8">
        <v>5.3120000000000003</v>
      </c>
      <c r="E1309" s="8">
        <v>188.43389999999999</v>
      </c>
      <c r="F1309" s="13"/>
      <c r="G1309" s="13" t="s">
        <v>88</v>
      </c>
      <c r="H1309" s="13" t="s">
        <v>89</v>
      </c>
      <c r="I1309" s="13" t="s">
        <v>19</v>
      </c>
      <c r="J1309" s="17">
        <f t="shared" si="20"/>
        <v>1000.9608768000001</v>
      </c>
      <c r="K1309" s="15" t="s">
        <v>86</v>
      </c>
      <c r="L1309" s="13"/>
      <c r="M1309" s="13"/>
      <c r="N1309" s="14"/>
    </row>
    <row r="1310" spans="1:14" x14ac:dyDescent="0.35">
      <c r="A1310" s="16" t="s">
        <v>81</v>
      </c>
      <c r="B1310" s="13" t="s">
        <v>25</v>
      </c>
      <c r="C1310" s="25">
        <v>45987</v>
      </c>
      <c r="D1310" s="8">
        <v>1052.74</v>
      </c>
      <c r="E1310" s="8">
        <v>94.995400000000004</v>
      </c>
      <c r="F1310" s="13">
        <v>52135804903</v>
      </c>
      <c r="G1310" s="13" t="s">
        <v>82</v>
      </c>
      <c r="H1310" s="13" t="s">
        <v>83</v>
      </c>
      <c r="I1310" s="13" t="s">
        <v>26</v>
      </c>
      <c r="J1310" s="17">
        <f t="shared" si="20"/>
        <v>100005.457396</v>
      </c>
      <c r="K1310" s="15" t="s">
        <v>16</v>
      </c>
      <c r="L1310" s="13"/>
      <c r="M1310" s="13"/>
      <c r="N1310" s="14"/>
    </row>
    <row r="1311" spans="1:14" x14ac:dyDescent="0.35">
      <c r="A1311" s="16" t="s">
        <v>87</v>
      </c>
      <c r="B1311" s="13" t="s">
        <v>18</v>
      </c>
      <c r="C1311" s="12">
        <v>45993</v>
      </c>
      <c r="D1311" s="8">
        <v>5.306</v>
      </c>
      <c r="E1311" s="8">
        <v>188.66210000000001</v>
      </c>
      <c r="F1311" s="13"/>
      <c r="G1311" s="13" t="s">
        <v>88</v>
      </c>
      <c r="H1311" s="13" t="s">
        <v>89</v>
      </c>
      <c r="I1311" s="13" t="s">
        <v>19</v>
      </c>
      <c r="J1311" s="17">
        <f t="shared" si="20"/>
        <v>1001.0411026</v>
      </c>
      <c r="K1311" s="15" t="s">
        <v>86</v>
      </c>
      <c r="L1311" s="13"/>
      <c r="M1311" s="13"/>
      <c r="N1311" s="14"/>
    </row>
    <row r="1312" spans="1:14" x14ac:dyDescent="0.35">
      <c r="A1312" s="16" t="s">
        <v>87</v>
      </c>
      <c r="B1312" s="13" t="s">
        <v>18</v>
      </c>
      <c r="C1312" s="12">
        <v>46000</v>
      </c>
      <c r="D1312" s="8">
        <v>5.4279999999999999</v>
      </c>
      <c r="E1312" s="8">
        <v>184.41970000000001</v>
      </c>
      <c r="F1312" s="13"/>
      <c r="G1312" s="13" t="s">
        <v>88</v>
      </c>
      <c r="H1312" s="13" t="s">
        <v>89</v>
      </c>
      <c r="I1312" s="13" t="s">
        <v>19</v>
      </c>
      <c r="J1312" s="17">
        <f t="shared" si="20"/>
        <v>1001.0301316</v>
      </c>
      <c r="K1312" s="15" t="s">
        <v>86</v>
      </c>
      <c r="L1312" s="13"/>
      <c r="M1312" s="13"/>
      <c r="N1312" s="14"/>
    </row>
    <row r="1313" spans="1:14" x14ac:dyDescent="0.35">
      <c r="A1313" s="16" t="s">
        <v>84</v>
      </c>
      <c r="B1313" s="13" t="s">
        <v>25</v>
      </c>
      <c r="C1313" s="12">
        <v>46001</v>
      </c>
      <c r="D1313" s="8">
        <v>1216.6410000000001</v>
      </c>
      <c r="E1313" s="8">
        <v>94.517799999999994</v>
      </c>
      <c r="F1313" s="13"/>
      <c r="G1313" s="13" t="s">
        <v>85</v>
      </c>
      <c r="H1313" s="13" t="s">
        <v>83</v>
      </c>
      <c r="I1313" s="13" t="s">
        <v>26</v>
      </c>
      <c r="J1313" s="17">
        <f t="shared" si="20"/>
        <v>114994.2307098</v>
      </c>
      <c r="K1313" s="15" t="s">
        <v>86</v>
      </c>
      <c r="L1313" s="13"/>
      <c r="M1313" s="13"/>
      <c r="N1313" s="14"/>
    </row>
    <row r="1314" spans="1:14" x14ac:dyDescent="0.35">
      <c r="A1314" s="16" t="s">
        <v>27</v>
      </c>
      <c r="B1314" s="13" t="s">
        <v>56</v>
      </c>
      <c r="C1314" s="12">
        <v>46002</v>
      </c>
      <c r="D1314" s="8">
        <v>50.655999999999999</v>
      </c>
      <c r="E1314" s="8">
        <v>19.739999999999998</v>
      </c>
      <c r="F1314" s="13"/>
      <c r="G1314" s="13" t="s">
        <v>13</v>
      </c>
      <c r="H1314" s="13" t="s">
        <v>40</v>
      </c>
      <c r="I1314" s="13" t="s">
        <v>57</v>
      </c>
      <c r="J1314" s="17">
        <f t="shared" si="20"/>
        <v>999.94943999999987</v>
      </c>
      <c r="K1314" s="15" t="s">
        <v>16</v>
      </c>
      <c r="L1314" s="13"/>
      <c r="M1314" s="13"/>
      <c r="N1314" s="14"/>
    </row>
    <row r="1315" spans="1:14" x14ac:dyDescent="0.35">
      <c r="A1315" s="16" t="s">
        <v>87</v>
      </c>
      <c r="B1315" s="13" t="s">
        <v>18</v>
      </c>
      <c r="C1315" s="12">
        <v>46007</v>
      </c>
      <c r="D1315" s="8">
        <v>5.4020000000000001</v>
      </c>
      <c r="E1315" s="8">
        <v>185.2962</v>
      </c>
      <c r="F1315" s="13"/>
      <c r="G1315" s="13" t="s">
        <v>88</v>
      </c>
      <c r="H1315" s="13" t="s">
        <v>89</v>
      </c>
      <c r="I1315" s="13" t="s">
        <v>19</v>
      </c>
      <c r="J1315" s="17">
        <f t="shared" si="20"/>
        <v>1000.9700724</v>
      </c>
      <c r="K1315" s="15" t="s">
        <v>86</v>
      </c>
      <c r="L1315" s="13"/>
      <c r="M1315" s="13"/>
      <c r="N1315" s="14"/>
    </row>
    <row r="1316" spans="1:14" x14ac:dyDescent="0.35">
      <c r="A1316" s="16" t="s">
        <v>49</v>
      </c>
      <c r="B1316" s="13" t="s">
        <v>39</v>
      </c>
      <c r="C1316" s="12">
        <v>46009</v>
      </c>
      <c r="D1316" s="8">
        <v>14.131</v>
      </c>
      <c r="E1316" s="8">
        <v>176.905</v>
      </c>
      <c r="F1316" s="13"/>
      <c r="G1316" s="13" t="s">
        <v>31</v>
      </c>
      <c r="H1316" s="13" t="s">
        <v>40</v>
      </c>
      <c r="I1316" s="13" t="s">
        <v>41</v>
      </c>
      <c r="J1316" s="17">
        <f t="shared" si="20"/>
        <v>2499.8445550000001</v>
      </c>
      <c r="K1316" s="15" t="s">
        <v>32</v>
      </c>
      <c r="L1316" s="13"/>
      <c r="M1316" s="13"/>
      <c r="N1316" s="14"/>
    </row>
    <row r="1317" spans="1:14" x14ac:dyDescent="0.35">
      <c r="A1317" s="16" t="s">
        <v>74</v>
      </c>
      <c r="B1317" s="13" t="s">
        <v>42</v>
      </c>
      <c r="C1317" s="12">
        <v>46010</v>
      </c>
      <c r="D1317" s="8">
        <v>15.696999999999999</v>
      </c>
      <c r="E1317" s="8">
        <v>191.1157</v>
      </c>
      <c r="F1317" s="13"/>
      <c r="G1317" s="13" t="s">
        <v>31</v>
      </c>
      <c r="H1317" s="13" t="s">
        <v>40</v>
      </c>
      <c r="I1317" s="13" t="s">
        <v>43</v>
      </c>
      <c r="J1317" s="17">
        <f t="shared" si="20"/>
        <v>2999.9431429000001</v>
      </c>
      <c r="K1317" s="15" t="s">
        <v>32</v>
      </c>
      <c r="L1317" s="13"/>
      <c r="M1317" s="13"/>
      <c r="N1317" s="14"/>
    </row>
    <row r="1318" spans="1:14" x14ac:dyDescent="0.35">
      <c r="A1318" s="16" t="s">
        <v>87</v>
      </c>
      <c r="B1318" s="13" t="s">
        <v>18</v>
      </c>
      <c r="C1318" s="12">
        <v>46014</v>
      </c>
      <c r="D1318" s="8">
        <v>5.3440000000000003</v>
      </c>
      <c r="E1318" s="8">
        <v>187.2884</v>
      </c>
      <c r="F1318" s="13"/>
      <c r="G1318" s="13" t="s">
        <v>88</v>
      </c>
      <c r="H1318" s="13" t="s">
        <v>89</v>
      </c>
      <c r="I1318" s="13" t="s">
        <v>19</v>
      </c>
      <c r="J1318" s="17">
        <f t="shared" si="20"/>
        <v>1000.8692096000001</v>
      </c>
      <c r="K1318" s="15" t="s">
        <v>86</v>
      </c>
      <c r="L1318" s="13"/>
      <c r="M1318" s="13"/>
      <c r="N1318" s="14"/>
    </row>
    <row r="1319" spans="1:14" x14ac:dyDescent="0.35">
      <c r="A1319" s="16" t="s">
        <v>65</v>
      </c>
      <c r="B1319" s="13" t="s">
        <v>54</v>
      </c>
      <c r="C1319" s="12">
        <v>46017</v>
      </c>
      <c r="D1319" s="8">
        <v>121.94</v>
      </c>
      <c r="E1319" s="8">
        <v>41.002000000000002</v>
      </c>
      <c r="F1319" s="13"/>
      <c r="G1319" s="13" t="s">
        <v>38</v>
      </c>
      <c r="H1319" s="13" t="s">
        <v>66</v>
      </c>
      <c r="I1319" s="13" t="s">
        <v>55</v>
      </c>
      <c r="J1319" s="17">
        <f t="shared" si="20"/>
        <v>4999.78388</v>
      </c>
      <c r="K1319" s="15" t="s">
        <v>16</v>
      </c>
      <c r="L1319" s="13"/>
      <c r="M1319" s="13"/>
      <c r="N1319" s="14"/>
    </row>
    <row r="1320" spans="1:14" x14ac:dyDescent="0.35">
      <c r="A1320" s="16" t="s">
        <v>67</v>
      </c>
      <c r="B1320" s="13" t="s">
        <v>54</v>
      </c>
      <c r="C1320" s="12">
        <v>46017</v>
      </c>
      <c r="D1320" s="8">
        <v>41.002000000000002</v>
      </c>
      <c r="E1320" s="8">
        <v>121.94</v>
      </c>
      <c r="F1320" s="13"/>
      <c r="G1320" s="13" t="s">
        <v>38</v>
      </c>
      <c r="H1320" s="13" t="s">
        <v>68</v>
      </c>
      <c r="I1320" s="13" t="s">
        <v>55</v>
      </c>
      <c r="J1320" s="17">
        <f t="shared" si="20"/>
        <v>4999.78388</v>
      </c>
      <c r="K1320" s="15" t="s">
        <v>16</v>
      </c>
      <c r="L1320" s="13"/>
      <c r="M1320" s="13"/>
      <c r="N1320" s="14"/>
    </row>
    <row r="1321" spans="1:14" x14ac:dyDescent="0.35">
      <c r="A1321" s="16" t="s">
        <v>93</v>
      </c>
      <c r="B1321" s="13" t="s">
        <v>95</v>
      </c>
      <c r="C1321" s="12">
        <v>46024</v>
      </c>
      <c r="D1321" s="8">
        <v>639.83500000000004</v>
      </c>
      <c r="E1321" s="8">
        <v>42.196300000000001</v>
      </c>
      <c r="F1321" s="13"/>
      <c r="G1321" s="13" t="s">
        <v>85</v>
      </c>
      <c r="H1321" s="13" t="s">
        <v>96</v>
      </c>
      <c r="I1321" s="13" t="s">
        <v>97</v>
      </c>
      <c r="J1321" s="17">
        <f t="shared" si="20"/>
        <v>26998.669610500001</v>
      </c>
      <c r="K1321" s="15" t="s">
        <v>86</v>
      </c>
      <c r="L1321" s="13"/>
      <c r="M1321" s="13"/>
      <c r="N1321" s="14"/>
    </row>
    <row r="1322" spans="1:14" x14ac:dyDescent="0.35">
      <c r="A1322" s="16" t="s">
        <v>87</v>
      </c>
      <c r="B1322" s="13" t="s">
        <v>18</v>
      </c>
      <c r="C1322" s="12">
        <v>46024</v>
      </c>
      <c r="D1322" s="8">
        <v>5.3170000000000002</v>
      </c>
      <c r="E1322" s="8">
        <v>188.27029999999999</v>
      </c>
      <c r="F1322" s="13"/>
      <c r="G1322" s="13" t="s">
        <v>88</v>
      </c>
      <c r="H1322" s="13" t="s">
        <v>89</v>
      </c>
      <c r="I1322" s="13" t="s">
        <v>19</v>
      </c>
      <c r="J1322" s="17">
        <f t="shared" si="20"/>
        <v>1001.0331851</v>
      </c>
      <c r="K1322" s="15" t="s">
        <v>86</v>
      </c>
      <c r="L1322" s="13"/>
      <c r="M1322" s="13"/>
      <c r="N1322" s="14"/>
    </row>
    <row r="1323" spans="1:14" x14ac:dyDescent="0.35">
      <c r="A1323" s="16" t="s">
        <v>84</v>
      </c>
      <c r="B1323" s="13" t="s">
        <v>25</v>
      </c>
      <c r="C1323" s="12">
        <v>46031</v>
      </c>
      <c r="D1323" s="8">
        <v>1062.2570000000001</v>
      </c>
      <c r="E1323" s="8">
        <v>94.143900000000002</v>
      </c>
      <c r="F1323" s="13"/>
      <c r="G1323" s="13" t="s">
        <v>85</v>
      </c>
      <c r="H1323" s="13" t="s">
        <v>83</v>
      </c>
      <c r="I1323" s="13" t="s">
        <v>26</v>
      </c>
      <c r="J1323" s="17">
        <f t="shared" si="20"/>
        <v>100005.01678230001</v>
      </c>
      <c r="K1323" s="15" t="s">
        <v>86</v>
      </c>
      <c r="L1323" s="13"/>
      <c r="M1323" s="13"/>
      <c r="N1323" s="14"/>
    </row>
    <row r="1324" spans="1:14" x14ac:dyDescent="0.35">
      <c r="A1324" s="16" t="s">
        <v>87</v>
      </c>
      <c r="B1324" s="13" t="s">
        <v>18</v>
      </c>
      <c r="C1324" s="12">
        <v>46031</v>
      </c>
      <c r="D1324" s="8">
        <v>5.4939999999999998</v>
      </c>
      <c r="E1324" s="8">
        <v>182.1833</v>
      </c>
      <c r="F1324" s="13"/>
      <c r="G1324" s="13" t="s">
        <v>88</v>
      </c>
      <c r="H1324" s="13" t="s">
        <v>89</v>
      </c>
      <c r="I1324" s="13" t="s">
        <v>19</v>
      </c>
      <c r="J1324" s="17">
        <f t="shared" si="20"/>
        <v>1000.9150502</v>
      </c>
      <c r="K1324" s="15" t="s">
        <v>86</v>
      </c>
      <c r="L1324" s="13"/>
      <c r="M1324" s="13"/>
      <c r="N1324" s="14"/>
    </row>
    <row r="1325" spans="1:14" x14ac:dyDescent="0.35">
      <c r="A1325" s="16" t="s">
        <v>27</v>
      </c>
      <c r="B1325" s="13" t="s">
        <v>56</v>
      </c>
      <c r="C1325" s="12">
        <v>46034</v>
      </c>
      <c r="D1325" s="8">
        <v>50.966000000000001</v>
      </c>
      <c r="E1325" s="8">
        <v>19.62</v>
      </c>
      <c r="F1325" s="13"/>
      <c r="G1325" s="13" t="s">
        <v>13</v>
      </c>
      <c r="H1325" s="13" t="s">
        <v>40</v>
      </c>
      <c r="I1325" s="13" t="s">
        <v>57</v>
      </c>
      <c r="J1325" s="17">
        <f t="shared" si="20"/>
        <v>999.95292000000006</v>
      </c>
      <c r="K1325" s="15" t="s">
        <v>16</v>
      </c>
      <c r="L1325" s="13"/>
      <c r="M1325" s="13"/>
      <c r="N1325" s="14"/>
    </row>
    <row r="1326" spans="1:14" x14ac:dyDescent="0.35">
      <c r="A1326" s="16" t="s">
        <v>87</v>
      </c>
      <c r="B1326" s="13" t="s">
        <v>18</v>
      </c>
      <c r="C1326" s="12">
        <v>46038</v>
      </c>
      <c r="D1326" s="8">
        <v>5.5149999999999997</v>
      </c>
      <c r="E1326" s="8">
        <v>181.50630000000001</v>
      </c>
      <c r="F1326" s="13"/>
      <c r="G1326" s="13" t="s">
        <v>88</v>
      </c>
      <c r="H1326" s="13" t="s">
        <v>89</v>
      </c>
      <c r="I1326" s="13" t="s">
        <v>19</v>
      </c>
      <c r="J1326" s="17">
        <f t="shared" si="20"/>
        <v>1001.0072445</v>
      </c>
      <c r="K1326" s="15" t="s">
        <v>86</v>
      </c>
      <c r="L1326" s="13"/>
      <c r="M1326" s="13"/>
      <c r="N1326" s="14"/>
    </row>
    <row r="1327" spans="1:14" x14ac:dyDescent="0.35">
      <c r="A1327" s="16" t="s">
        <v>74</v>
      </c>
      <c r="B1327" s="13" t="s">
        <v>42</v>
      </c>
      <c r="C1327" s="12">
        <v>46041</v>
      </c>
      <c r="D1327" s="8">
        <v>16.18</v>
      </c>
      <c r="E1327" s="8">
        <v>185.4042</v>
      </c>
      <c r="F1327" s="13"/>
      <c r="G1327" s="13" t="s">
        <v>31</v>
      </c>
      <c r="H1327" s="13" t="s">
        <v>40</v>
      </c>
      <c r="I1327" s="13" t="s">
        <v>43</v>
      </c>
      <c r="J1327" s="17">
        <f t="shared" si="20"/>
        <v>2999.8399559999998</v>
      </c>
      <c r="K1327" s="15" t="s">
        <v>32</v>
      </c>
      <c r="L1327" s="13"/>
      <c r="M1327" s="13"/>
      <c r="N1327" s="14"/>
    </row>
    <row r="1328" spans="1:14" x14ac:dyDescent="0.35">
      <c r="A1328" s="16" t="s">
        <v>49</v>
      </c>
      <c r="B1328" s="13" t="s">
        <v>39</v>
      </c>
      <c r="C1328" s="12">
        <v>46041</v>
      </c>
      <c r="D1328" s="8">
        <v>14.573</v>
      </c>
      <c r="E1328" s="8">
        <v>171.54400000000001</v>
      </c>
      <c r="F1328" s="13"/>
      <c r="G1328" s="13" t="s">
        <v>31</v>
      </c>
      <c r="H1328" s="13" t="s">
        <v>40</v>
      </c>
      <c r="I1328" s="13" t="s">
        <v>41</v>
      </c>
      <c r="J1328" s="17">
        <f t="shared" si="20"/>
        <v>2499.9107120000003</v>
      </c>
      <c r="K1328" s="15" t="s">
        <v>32</v>
      </c>
      <c r="L1328" s="13"/>
      <c r="M1328" s="13"/>
      <c r="N1328" s="14"/>
    </row>
    <row r="1329" spans="1:14" x14ac:dyDescent="0.35">
      <c r="A1329" s="16" t="s">
        <v>37</v>
      </c>
      <c r="B1329" s="13" t="s">
        <v>25</v>
      </c>
      <c r="C1329" s="12">
        <v>46041</v>
      </c>
      <c r="D1329" s="8">
        <v>692.61</v>
      </c>
      <c r="E1329" s="8">
        <v>93.850399999999993</v>
      </c>
      <c r="F1329" s="13">
        <v>52146580391</v>
      </c>
      <c r="G1329" s="13" t="s">
        <v>38</v>
      </c>
      <c r="H1329" s="13"/>
      <c r="I1329" s="13" t="s">
        <v>26</v>
      </c>
      <c r="J1329" s="17">
        <f t="shared" si="20"/>
        <v>65001.725543999994</v>
      </c>
      <c r="K1329" s="15" t="s">
        <v>16</v>
      </c>
      <c r="L1329" s="13"/>
      <c r="M1329" s="13"/>
      <c r="N1329" s="14"/>
    </row>
    <row r="1330" spans="1:14" x14ac:dyDescent="0.35">
      <c r="A1330" s="16" t="s">
        <v>84</v>
      </c>
      <c r="B1330" s="13" t="s">
        <v>25</v>
      </c>
      <c r="C1330" s="12">
        <v>46043</v>
      </c>
      <c r="D1330" s="8">
        <v>1079.0060000000001</v>
      </c>
      <c r="E1330" s="8">
        <v>92.664000000000001</v>
      </c>
      <c r="F1330" s="13"/>
      <c r="G1330" s="13" t="s">
        <v>85</v>
      </c>
      <c r="H1330" s="13" t="s">
        <v>83</v>
      </c>
      <c r="I1330" s="13" t="s">
        <v>26</v>
      </c>
      <c r="J1330" s="17">
        <f t="shared" si="20"/>
        <v>99985.011984000012</v>
      </c>
      <c r="K1330" s="15" t="s">
        <v>86</v>
      </c>
      <c r="L1330" s="13"/>
      <c r="M1330" s="13"/>
      <c r="N1330" s="14"/>
    </row>
    <row r="1331" spans="1:14" x14ac:dyDescent="0.35">
      <c r="A1331" s="16" t="s">
        <v>87</v>
      </c>
      <c r="B1331" s="13" t="s">
        <v>18</v>
      </c>
      <c r="C1331" s="12">
        <v>46045</v>
      </c>
      <c r="D1331" s="8">
        <v>5.7590000000000003</v>
      </c>
      <c r="E1331" s="8">
        <v>173.80179999999999</v>
      </c>
      <c r="F1331" s="13"/>
      <c r="G1331" s="13" t="s">
        <v>88</v>
      </c>
      <c r="H1331" s="13" t="s">
        <v>89</v>
      </c>
      <c r="I1331" s="13" t="s">
        <v>19</v>
      </c>
      <c r="J1331" s="17">
        <f t="shared" si="20"/>
        <v>1000.9245662</v>
      </c>
      <c r="K1331" s="15" t="s">
        <v>86</v>
      </c>
      <c r="L1331" s="13"/>
      <c r="M1331" s="13"/>
      <c r="N1331" s="14"/>
    </row>
    <row r="1332" spans="1:14" x14ac:dyDescent="0.35">
      <c r="A1332" s="16" t="s">
        <v>65</v>
      </c>
      <c r="B1332" s="13" t="s">
        <v>54</v>
      </c>
      <c r="C1332" s="12">
        <v>46049</v>
      </c>
      <c r="D1332" s="8">
        <v>43.765000000000001</v>
      </c>
      <c r="E1332" s="8">
        <v>114.24</v>
      </c>
      <c r="F1332" s="13"/>
      <c r="G1332" s="13" t="s">
        <v>38</v>
      </c>
      <c r="H1332" s="13" t="s">
        <v>66</v>
      </c>
      <c r="I1332" s="13" t="s">
        <v>55</v>
      </c>
      <c r="J1332" s="17">
        <f t="shared" si="20"/>
        <v>4999.7136</v>
      </c>
      <c r="K1332" s="15" t="s">
        <v>16</v>
      </c>
      <c r="L1332" s="13"/>
      <c r="M1332" s="13"/>
      <c r="N1332" s="14"/>
    </row>
    <row r="1333" spans="1:14" x14ac:dyDescent="0.35">
      <c r="A1333" s="16" t="s">
        <v>67</v>
      </c>
      <c r="B1333" s="13" t="s">
        <v>54</v>
      </c>
      <c r="C1333" s="12">
        <v>46049</v>
      </c>
      <c r="D1333" s="8">
        <v>43.765000000000001</v>
      </c>
      <c r="E1333" s="8">
        <v>114.24</v>
      </c>
      <c r="F1333" s="13"/>
      <c r="G1333" s="13" t="s">
        <v>38</v>
      </c>
      <c r="H1333" s="13" t="s">
        <v>68</v>
      </c>
      <c r="I1333" s="13" t="s">
        <v>55</v>
      </c>
      <c r="J1333" s="17">
        <f t="shared" si="20"/>
        <v>4999.7136</v>
      </c>
      <c r="K1333" s="15" t="s">
        <v>16</v>
      </c>
      <c r="L1333" s="13"/>
      <c r="M1333" s="13"/>
      <c r="N1333" s="14"/>
    </row>
    <row r="1334" spans="1:14" x14ac:dyDescent="0.35">
      <c r="A1334" s="16" t="s">
        <v>93</v>
      </c>
      <c r="B1334" s="13" t="s">
        <v>91</v>
      </c>
      <c r="C1334" s="12">
        <v>46052</v>
      </c>
      <c r="D1334" s="8">
        <v>32.698</v>
      </c>
      <c r="E1334" s="8">
        <v>152.905</v>
      </c>
      <c r="F1334" s="13"/>
      <c r="G1334" s="13" t="s">
        <v>85</v>
      </c>
      <c r="H1334" s="13" t="s">
        <v>94</v>
      </c>
      <c r="I1334" s="13" t="s">
        <v>92</v>
      </c>
      <c r="J1334" s="17">
        <f t="shared" si="20"/>
        <v>4999.6876899999997</v>
      </c>
      <c r="K1334" s="15" t="s">
        <v>86</v>
      </c>
      <c r="L1334" s="13"/>
      <c r="M1334" s="13"/>
      <c r="N1334" s="14"/>
    </row>
    <row r="1335" spans="1:14" x14ac:dyDescent="0.35">
      <c r="A1335" s="16" t="s">
        <v>87</v>
      </c>
      <c r="B1335" s="13" t="s">
        <v>18</v>
      </c>
      <c r="C1335" s="12">
        <v>46056</v>
      </c>
      <c r="D1335" s="8">
        <v>5.4889999999999999</v>
      </c>
      <c r="E1335" s="8">
        <v>182.34350000000001</v>
      </c>
      <c r="F1335" s="13"/>
      <c r="G1335" s="13" t="s">
        <v>88</v>
      </c>
      <c r="H1335" s="13" t="s">
        <v>89</v>
      </c>
      <c r="I1335" s="13" t="s">
        <v>19</v>
      </c>
      <c r="J1335" s="17">
        <f t="shared" si="20"/>
        <v>1000.8834715</v>
      </c>
      <c r="K1335" s="15" t="s">
        <v>86</v>
      </c>
      <c r="L1335" s="13"/>
      <c r="M1335" s="13"/>
      <c r="N1335" s="14"/>
    </row>
    <row r="1336" spans="1:14" x14ac:dyDescent="0.35">
      <c r="A1336" s="16" t="s">
        <v>84</v>
      </c>
      <c r="B1336" s="13" t="s">
        <v>98</v>
      </c>
      <c r="C1336" s="12">
        <v>46057</v>
      </c>
      <c r="D1336" s="8">
        <v>1500.425</v>
      </c>
      <c r="E1336" s="8">
        <v>10</v>
      </c>
      <c r="F1336" s="13" t="s">
        <v>99</v>
      </c>
      <c r="G1336" s="13" t="s">
        <v>85</v>
      </c>
      <c r="H1336" s="13" t="s">
        <v>100</v>
      </c>
      <c r="I1336" s="13" t="s">
        <v>101</v>
      </c>
      <c r="J1336" s="17">
        <f t="shared" si="20"/>
        <v>15004.25</v>
      </c>
      <c r="K1336" s="15" t="s">
        <v>86</v>
      </c>
      <c r="L1336" s="13"/>
      <c r="M1336" s="13"/>
      <c r="N1336" s="14"/>
    </row>
    <row r="1337" spans="1:14" x14ac:dyDescent="0.35">
      <c r="A1337" s="16" t="s">
        <v>81</v>
      </c>
      <c r="B1337" s="13" t="s">
        <v>25</v>
      </c>
      <c r="C1337" s="12">
        <v>46062</v>
      </c>
      <c r="D1337" s="8">
        <v>5310.38</v>
      </c>
      <c r="E1337" s="8">
        <v>94.150599999999997</v>
      </c>
      <c r="F1337" s="13">
        <v>52150025707</v>
      </c>
      <c r="G1337" s="13" t="s">
        <v>82</v>
      </c>
      <c r="H1337" s="13" t="s">
        <v>83</v>
      </c>
      <c r="I1337" s="13" t="s">
        <v>26</v>
      </c>
      <c r="J1337" s="17">
        <f t="shared" si="20"/>
        <v>499975.46322799998</v>
      </c>
      <c r="K1337" s="15" t="s">
        <v>16</v>
      </c>
      <c r="L1337" s="13"/>
      <c r="M1337" s="13"/>
      <c r="N1337" s="14"/>
    </row>
    <row r="1338" spans="1:14" x14ac:dyDescent="0.35">
      <c r="A1338" s="16" t="s">
        <v>87</v>
      </c>
      <c r="B1338" s="13" t="s">
        <v>18</v>
      </c>
      <c r="C1338" s="12">
        <v>46063</v>
      </c>
      <c r="D1338" s="8">
        <v>5.3639999999999999</v>
      </c>
      <c r="E1338" s="8">
        <v>186.59979999999999</v>
      </c>
      <c r="F1338" s="13"/>
      <c r="G1338" s="13" t="s">
        <v>88</v>
      </c>
      <c r="H1338" s="13" t="s">
        <v>89</v>
      </c>
      <c r="I1338" s="13" t="s">
        <v>19</v>
      </c>
      <c r="J1338" s="17">
        <f t="shared" si="20"/>
        <v>1000.9213272</v>
      </c>
      <c r="K1338" s="15" t="s">
        <v>86</v>
      </c>
      <c r="L1338" s="13"/>
      <c r="M1338" s="13"/>
      <c r="N1338" s="14"/>
    </row>
    <row r="1339" spans="1:14" x14ac:dyDescent="0.35">
      <c r="A1339" s="16" t="s">
        <v>27</v>
      </c>
      <c r="B1339" s="13" t="s">
        <v>56</v>
      </c>
      <c r="C1339" s="12">
        <v>46064</v>
      </c>
      <c r="D1339" s="8">
        <v>50.732999999999997</v>
      </c>
      <c r="E1339" s="8">
        <v>19.71</v>
      </c>
      <c r="F1339" s="13"/>
      <c r="G1339" s="13" t="s">
        <v>13</v>
      </c>
      <c r="H1339" s="13" t="s">
        <v>40</v>
      </c>
      <c r="I1339" s="13" t="s">
        <v>57</v>
      </c>
      <c r="J1339" s="17">
        <f t="shared" si="20"/>
        <v>999.94742999999994</v>
      </c>
      <c r="K1339" s="15" t="s">
        <v>16</v>
      </c>
      <c r="L1339" s="13"/>
      <c r="M1339" s="13"/>
      <c r="N1339" s="14"/>
    </row>
    <row r="1340" spans="1:14" x14ac:dyDescent="0.35">
      <c r="A1340" s="16" t="s">
        <v>84</v>
      </c>
      <c r="B1340" s="13" t="s">
        <v>25</v>
      </c>
      <c r="C1340" s="12">
        <v>46066</v>
      </c>
      <c r="D1340" s="8">
        <v>1085.702</v>
      </c>
      <c r="E1340" s="8">
        <v>92.065799999999996</v>
      </c>
      <c r="F1340" s="13" t="s">
        <v>102</v>
      </c>
      <c r="G1340" s="13" t="s">
        <v>85</v>
      </c>
      <c r="H1340" s="13" t="s">
        <v>83</v>
      </c>
      <c r="I1340" s="13" t="s">
        <v>26</v>
      </c>
      <c r="J1340" s="17">
        <f t="shared" si="20"/>
        <v>99956.02319159999</v>
      </c>
      <c r="K1340" s="15" t="s">
        <v>86</v>
      </c>
      <c r="L1340" s="13"/>
      <c r="M1340" s="13"/>
      <c r="N1340" s="14"/>
    </row>
    <row r="1341" spans="1:14" x14ac:dyDescent="0.35">
      <c r="A1341" s="16" t="s">
        <v>84</v>
      </c>
      <c r="B1341" s="13" t="s">
        <v>98</v>
      </c>
      <c r="C1341" s="12">
        <v>46069</v>
      </c>
      <c r="D1341" s="8">
        <v>7493.2560000000003</v>
      </c>
      <c r="E1341" s="8">
        <v>10.0085</v>
      </c>
      <c r="F1341" s="13" t="s">
        <v>103</v>
      </c>
      <c r="G1341" s="13" t="s">
        <v>85</v>
      </c>
      <c r="H1341" s="13" t="s">
        <v>100</v>
      </c>
      <c r="I1341" s="13" t="s">
        <v>101</v>
      </c>
      <c r="J1341" s="17">
        <f t="shared" si="20"/>
        <v>74996.252676000004</v>
      </c>
      <c r="K1341" s="15" t="s">
        <v>86</v>
      </c>
      <c r="L1341" s="13"/>
      <c r="M1341" s="13"/>
      <c r="N1341" s="14"/>
    </row>
    <row r="1342" spans="1:14" x14ac:dyDescent="0.35">
      <c r="A1342" s="16" t="s">
        <v>87</v>
      </c>
      <c r="B1342" s="13" t="s">
        <v>18</v>
      </c>
      <c r="C1342" s="12">
        <v>46070</v>
      </c>
      <c r="D1342" s="8">
        <v>5.4249999999999998</v>
      </c>
      <c r="E1342" s="8">
        <v>184.50479999999999</v>
      </c>
      <c r="F1342" s="13"/>
      <c r="G1342" s="13" t="s">
        <v>88</v>
      </c>
      <c r="H1342" s="13" t="s">
        <v>89</v>
      </c>
      <c r="I1342" s="13" t="s">
        <v>19</v>
      </c>
      <c r="J1342" s="17">
        <f t="shared" si="20"/>
        <v>1000.9385399999999</v>
      </c>
      <c r="K1342" s="15" t="s">
        <v>86</v>
      </c>
      <c r="L1342" s="13"/>
      <c r="M1342" s="13"/>
      <c r="N1342" s="14"/>
    </row>
    <row r="1343" spans="1:14" x14ac:dyDescent="0.35">
      <c r="A1343" s="16" t="s">
        <v>93</v>
      </c>
      <c r="B1343" s="13" t="s">
        <v>91</v>
      </c>
      <c r="C1343" s="12">
        <v>46071</v>
      </c>
      <c r="D1343" s="8">
        <v>291.375</v>
      </c>
      <c r="E1343" s="8">
        <v>154.60400000000001</v>
      </c>
      <c r="F1343" s="13"/>
      <c r="G1343" s="13" t="s">
        <v>85</v>
      </c>
      <c r="H1343" s="13" t="s">
        <v>94</v>
      </c>
      <c r="I1343" s="13" t="s">
        <v>92</v>
      </c>
      <c r="J1343" s="17">
        <f t="shared" si="20"/>
        <v>45047.740500000007</v>
      </c>
      <c r="K1343" s="15" t="s">
        <v>86</v>
      </c>
      <c r="L1343" s="13"/>
      <c r="M1343" s="13"/>
      <c r="N1343" s="14"/>
    </row>
    <row r="1344" spans="1:14" x14ac:dyDescent="0.35">
      <c r="A1344" s="16" t="s">
        <v>93</v>
      </c>
      <c r="B1344" s="13" t="s">
        <v>95</v>
      </c>
      <c r="C1344" s="12">
        <v>46071</v>
      </c>
      <c r="D1344" s="8">
        <v>53.231000000000002</v>
      </c>
      <c r="E1344" s="8">
        <v>46.963200000000001</v>
      </c>
      <c r="F1344" s="13"/>
      <c r="G1344" s="13" t="s">
        <v>85</v>
      </c>
      <c r="H1344" s="13" t="s">
        <v>96</v>
      </c>
      <c r="I1344" s="13" t="s">
        <v>97</v>
      </c>
      <c r="J1344" s="17">
        <f t="shared" si="20"/>
        <v>2499.8980992000002</v>
      </c>
      <c r="K1344" s="15" t="s">
        <v>86</v>
      </c>
      <c r="L1344" s="13"/>
      <c r="M1344" s="13"/>
      <c r="N1344" s="14"/>
    </row>
    <row r="1345" spans="1:14" x14ac:dyDescent="0.35">
      <c r="A1345" s="16" t="s">
        <v>49</v>
      </c>
      <c r="B1345" s="13" t="s">
        <v>39</v>
      </c>
      <c r="C1345" s="12">
        <v>46071</v>
      </c>
      <c r="D1345" s="8">
        <v>14.319000000000001</v>
      </c>
      <c r="E1345" s="8">
        <v>174.58799999999999</v>
      </c>
      <c r="F1345" s="13"/>
      <c r="G1345" s="13" t="s">
        <v>31</v>
      </c>
      <c r="H1345" s="13" t="s">
        <v>40</v>
      </c>
      <c r="I1345" s="13" t="s">
        <v>41</v>
      </c>
      <c r="J1345" s="17">
        <f t="shared" si="20"/>
        <v>2499.9255720000001</v>
      </c>
      <c r="K1345" s="15" t="s">
        <v>32</v>
      </c>
      <c r="L1345" s="13"/>
      <c r="M1345" s="13"/>
      <c r="N1345" s="14"/>
    </row>
    <row r="1346" spans="1:14" x14ac:dyDescent="0.35">
      <c r="A1346" s="16" t="s">
        <v>84</v>
      </c>
      <c r="B1346" s="13" t="s">
        <v>98</v>
      </c>
      <c r="C1346" s="12">
        <v>46072</v>
      </c>
      <c r="D1346" s="8">
        <v>6049.893</v>
      </c>
      <c r="E1346" s="8">
        <v>9.9253</v>
      </c>
      <c r="F1346" s="13" t="s">
        <v>103</v>
      </c>
      <c r="G1346" s="13" t="s">
        <v>85</v>
      </c>
      <c r="H1346" s="13" t="s">
        <v>100</v>
      </c>
      <c r="I1346" s="13" t="s">
        <v>101</v>
      </c>
      <c r="J1346" s="17">
        <f t="shared" ref="J1346:J1409" si="21">D1346*E1346</f>
        <v>60047.002992900001</v>
      </c>
      <c r="K1346" s="15" t="s">
        <v>86</v>
      </c>
      <c r="L1346" s="13"/>
      <c r="M1346" s="13"/>
      <c r="N1346" s="14"/>
    </row>
    <row r="1347" spans="1:14" x14ac:dyDescent="0.35">
      <c r="A1347" s="16" t="s">
        <v>93</v>
      </c>
      <c r="B1347" s="13" t="s">
        <v>91</v>
      </c>
      <c r="C1347" s="12">
        <v>46072</v>
      </c>
      <c r="D1347" s="8">
        <v>65.307000000000002</v>
      </c>
      <c r="E1347" s="8">
        <v>153.11600000000001</v>
      </c>
      <c r="F1347" s="13"/>
      <c r="G1347" s="13" t="s">
        <v>85</v>
      </c>
      <c r="H1347" s="13" t="s">
        <v>94</v>
      </c>
      <c r="I1347" s="13" t="s">
        <v>92</v>
      </c>
      <c r="J1347" s="17">
        <f t="shared" si="21"/>
        <v>9999.5466120000019</v>
      </c>
      <c r="K1347" s="15" t="s">
        <v>86</v>
      </c>
      <c r="L1347" s="13"/>
      <c r="M1347" s="13"/>
      <c r="N1347" s="14"/>
    </row>
    <row r="1348" spans="1:14" x14ac:dyDescent="0.35">
      <c r="A1348" s="16" t="s">
        <v>74</v>
      </c>
      <c r="B1348" s="13" t="s">
        <v>42</v>
      </c>
      <c r="C1348" s="12">
        <v>46072</v>
      </c>
      <c r="D1348" s="8">
        <v>16.071000000000002</v>
      </c>
      <c r="E1348" s="8">
        <v>186.66659999999999</v>
      </c>
      <c r="F1348" s="13"/>
      <c r="G1348" s="13" t="s">
        <v>31</v>
      </c>
      <c r="H1348" s="13" t="s">
        <v>40</v>
      </c>
      <c r="I1348" s="13" t="s">
        <v>43</v>
      </c>
      <c r="J1348" s="17">
        <f t="shared" si="21"/>
        <v>2999.9189286000001</v>
      </c>
      <c r="K1348" s="15" t="s">
        <v>32</v>
      </c>
      <c r="L1348" s="13"/>
      <c r="M1348" s="13"/>
      <c r="N1348" s="14"/>
    </row>
    <row r="1349" spans="1:14" x14ac:dyDescent="0.35">
      <c r="A1349" s="16" t="s">
        <v>84</v>
      </c>
      <c r="B1349" s="13" t="s">
        <v>25</v>
      </c>
      <c r="C1349" s="12">
        <v>46073</v>
      </c>
      <c r="D1349" s="8">
        <v>537.66899999999998</v>
      </c>
      <c r="E1349" s="8">
        <v>92.929900000000004</v>
      </c>
      <c r="F1349" s="13" t="s">
        <v>102</v>
      </c>
      <c r="G1349" s="13" t="s">
        <v>85</v>
      </c>
      <c r="H1349" s="13" t="s">
        <v>83</v>
      </c>
      <c r="I1349" s="13" t="s">
        <v>26</v>
      </c>
      <c r="J1349" s="17">
        <f t="shared" si="21"/>
        <v>49965.526403099997</v>
      </c>
      <c r="K1349" s="15" t="s">
        <v>86</v>
      </c>
      <c r="L1349" s="13"/>
      <c r="M1349" s="13"/>
      <c r="N1349" s="14"/>
    </row>
    <row r="1350" spans="1:14" x14ac:dyDescent="0.35">
      <c r="A1350" s="16" t="s">
        <v>84</v>
      </c>
      <c r="B1350" s="13" t="s">
        <v>98</v>
      </c>
      <c r="C1350" s="12">
        <v>46073</v>
      </c>
      <c r="D1350" s="8">
        <v>1504.442</v>
      </c>
      <c r="E1350" s="8">
        <v>9.9733000000000001</v>
      </c>
      <c r="F1350" s="13" t="s">
        <v>103</v>
      </c>
      <c r="G1350" s="13" t="s">
        <v>85</v>
      </c>
      <c r="H1350" s="13" t="s">
        <v>100</v>
      </c>
      <c r="I1350" s="13" t="s">
        <v>101</v>
      </c>
      <c r="J1350" s="17">
        <f t="shared" si="21"/>
        <v>15004.251398599999</v>
      </c>
      <c r="K1350" s="15" t="s">
        <v>86</v>
      </c>
      <c r="L1350" s="13"/>
      <c r="M1350" s="13"/>
      <c r="N1350" s="14"/>
    </row>
    <row r="1351" spans="1:14" x14ac:dyDescent="0.35">
      <c r="A1351" s="16" t="s">
        <v>84</v>
      </c>
      <c r="B1351" s="13" t="s">
        <v>25</v>
      </c>
      <c r="C1351" s="12">
        <v>46076</v>
      </c>
      <c r="D1351" s="8">
        <v>535.72699999999998</v>
      </c>
      <c r="E1351" s="8">
        <v>93.242400000000004</v>
      </c>
      <c r="F1351" s="13" t="s">
        <v>102</v>
      </c>
      <c r="G1351" s="13" t="s">
        <v>85</v>
      </c>
      <c r="H1351" s="13" t="s">
        <v>83</v>
      </c>
      <c r="I1351" s="13" t="s">
        <v>26</v>
      </c>
      <c r="J1351" s="17">
        <f t="shared" si="21"/>
        <v>49952.4712248</v>
      </c>
      <c r="K1351" s="15" t="s">
        <v>86</v>
      </c>
      <c r="L1351" s="13"/>
      <c r="M1351" s="13"/>
      <c r="N1351" s="14"/>
    </row>
    <row r="1352" spans="1:14" x14ac:dyDescent="0.35">
      <c r="A1352" s="16" t="s">
        <v>87</v>
      </c>
      <c r="B1352" s="13" t="s">
        <v>18</v>
      </c>
      <c r="C1352" s="12">
        <v>46077</v>
      </c>
      <c r="D1352" s="8">
        <v>5.476</v>
      </c>
      <c r="E1352" s="8">
        <v>182.7825</v>
      </c>
      <c r="F1352" s="13"/>
      <c r="G1352" s="13" t="s">
        <v>88</v>
      </c>
      <c r="H1352" s="13" t="s">
        <v>89</v>
      </c>
      <c r="I1352" s="13" t="s">
        <v>19</v>
      </c>
      <c r="J1352" s="17">
        <f t="shared" si="21"/>
        <v>1000.91697</v>
      </c>
      <c r="K1352" s="15" t="s">
        <v>86</v>
      </c>
      <c r="L1352" s="13"/>
      <c r="M1352" s="13"/>
      <c r="N1352" s="14"/>
    </row>
    <row r="1353" spans="1:14" x14ac:dyDescent="0.35">
      <c r="A1353" s="16" t="s">
        <v>65</v>
      </c>
      <c r="B1353" s="13" t="s">
        <v>54</v>
      </c>
      <c r="C1353" s="12">
        <v>46078</v>
      </c>
      <c r="D1353" s="8">
        <v>41.689</v>
      </c>
      <c r="E1353" s="8">
        <v>119.93</v>
      </c>
      <c r="F1353" s="13"/>
      <c r="G1353" s="13" t="s">
        <v>38</v>
      </c>
      <c r="H1353" s="13" t="s">
        <v>66</v>
      </c>
      <c r="I1353" s="13" t="s">
        <v>55</v>
      </c>
      <c r="J1353" s="17">
        <f t="shared" si="21"/>
        <v>4999.7617700000001</v>
      </c>
      <c r="K1353" s="15" t="s">
        <v>16</v>
      </c>
      <c r="L1353" s="13"/>
      <c r="M1353" s="13"/>
      <c r="N1353" s="14"/>
    </row>
    <row r="1354" spans="1:14" x14ac:dyDescent="0.35">
      <c r="A1354" s="16" t="s">
        <v>67</v>
      </c>
      <c r="B1354" s="13" t="s">
        <v>54</v>
      </c>
      <c r="C1354" s="12">
        <v>46078</v>
      </c>
      <c r="D1354" s="8">
        <v>41.689</v>
      </c>
      <c r="E1354" s="8">
        <v>119.93</v>
      </c>
      <c r="F1354" s="13"/>
      <c r="G1354" s="13" t="s">
        <v>38</v>
      </c>
      <c r="H1354" s="13" t="s">
        <v>68</v>
      </c>
      <c r="I1354" s="13" t="s">
        <v>55</v>
      </c>
      <c r="J1354" s="17">
        <f t="shared" si="21"/>
        <v>4999.7617700000001</v>
      </c>
      <c r="K1354" s="15" t="s">
        <v>16</v>
      </c>
      <c r="L1354" s="13"/>
      <c r="M1354" s="13"/>
      <c r="N1354" s="14"/>
    </row>
    <row r="1355" spans="1:14" x14ac:dyDescent="0.35">
      <c r="A1355" s="16" t="s">
        <v>93</v>
      </c>
      <c r="B1355" s="13" t="s">
        <v>91</v>
      </c>
      <c r="C1355" s="12">
        <v>46080</v>
      </c>
      <c r="D1355" s="8">
        <v>13.084</v>
      </c>
      <c r="E1355" s="8">
        <v>153.001</v>
      </c>
      <c r="F1355" s="13"/>
      <c r="G1355" s="13" t="s">
        <v>85</v>
      </c>
      <c r="H1355" s="13" t="s">
        <v>94</v>
      </c>
      <c r="I1355" s="13" t="s">
        <v>92</v>
      </c>
      <c r="J1355" s="17">
        <f t="shared" si="21"/>
        <v>2001.865084</v>
      </c>
      <c r="K1355" s="15" t="s">
        <v>86</v>
      </c>
      <c r="L1355" s="13"/>
      <c r="M1355" s="13"/>
      <c r="N1355" s="14"/>
    </row>
    <row r="1356" spans="1:14" x14ac:dyDescent="0.35">
      <c r="A1356" s="16" t="s">
        <v>84</v>
      </c>
      <c r="B1356" s="13" t="s">
        <v>25</v>
      </c>
      <c r="C1356" s="12">
        <v>46083</v>
      </c>
      <c r="D1356" s="8">
        <v>109.38</v>
      </c>
      <c r="E1356" s="8">
        <v>91.421999999999997</v>
      </c>
      <c r="F1356" s="13">
        <v>52153830078</v>
      </c>
      <c r="G1356" s="13" t="s">
        <v>85</v>
      </c>
      <c r="H1356" s="13" t="s">
        <v>83</v>
      </c>
      <c r="I1356" s="13" t="s">
        <v>26</v>
      </c>
      <c r="J1356" s="17">
        <f t="shared" si="21"/>
        <v>9999.7383599999994</v>
      </c>
      <c r="K1356" s="15" t="s">
        <v>86</v>
      </c>
      <c r="L1356" s="13"/>
      <c r="M1356" s="13"/>
      <c r="N1356" s="14"/>
    </row>
    <row r="1357" spans="1:14" x14ac:dyDescent="0.35">
      <c r="A1357" s="16" t="s">
        <v>84</v>
      </c>
      <c r="B1357" s="13" t="s">
        <v>98</v>
      </c>
      <c r="C1357" s="12">
        <v>46083</v>
      </c>
      <c r="D1357" s="8">
        <v>2569.931</v>
      </c>
      <c r="E1357" s="8">
        <v>9.7273999999999994</v>
      </c>
      <c r="F1357" s="13" t="s">
        <v>103</v>
      </c>
      <c r="G1357" s="13" t="s">
        <v>85</v>
      </c>
      <c r="H1357" s="13" t="s">
        <v>100</v>
      </c>
      <c r="I1357" s="13" t="s">
        <v>101</v>
      </c>
      <c r="J1357" s="17">
        <f t="shared" si="21"/>
        <v>24998.7468094</v>
      </c>
      <c r="K1357" s="15" t="s">
        <v>86</v>
      </c>
      <c r="L1357" s="13"/>
      <c r="M1357" s="13"/>
      <c r="N1357" s="14"/>
    </row>
    <row r="1358" spans="1:14" x14ac:dyDescent="0.35">
      <c r="A1358" s="16" t="s">
        <v>93</v>
      </c>
      <c r="B1358" s="13" t="s">
        <v>91</v>
      </c>
      <c r="C1358" s="12">
        <v>46085</v>
      </c>
      <c r="D1358" s="8">
        <v>20.393000000000001</v>
      </c>
      <c r="E1358" s="8">
        <v>147.101</v>
      </c>
      <c r="F1358" s="13"/>
      <c r="G1358" s="13" t="s">
        <v>85</v>
      </c>
      <c r="H1358" s="13" t="s">
        <v>94</v>
      </c>
      <c r="I1358" s="13" t="s">
        <v>92</v>
      </c>
      <c r="J1358" s="17">
        <f t="shared" si="21"/>
        <v>2999.8306929999999</v>
      </c>
      <c r="K1358" s="15" t="s">
        <v>86</v>
      </c>
      <c r="L1358" s="13"/>
      <c r="M1358" s="13"/>
      <c r="N1358" s="14"/>
    </row>
    <row r="1359" spans="1:14" x14ac:dyDescent="0.35">
      <c r="A1359" s="16" t="s">
        <v>93</v>
      </c>
      <c r="B1359" s="13" t="s">
        <v>95</v>
      </c>
      <c r="C1359" s="12">
        <v>46085</v>
      </c>
      <c r="D1359" s="8">
        <v>14.365</v>
      </c>
      <c r="E1359" s="8">
        <v>50.536900000000003</v>
      </c>
      <c r="F1359" s="13"/>
      <c r="G1359" s="13" t="s">
        <v>85</v>
      </c>
      <c r="H1359" s="13" t="s">
        <v>96</v>
      </c>
      <c r="I1359" s="13" t="s">
        <v>97</v>
      </c>
      <c r="J1359" s="17">
        <f t="shared" si="21"/>
        <v>725.96256850000009</v>
      </c>
      <c r="K1359" s="15" t="s">
        <v>86</v>
      </c>
      <c r="L1359" s="13"/>
      <c r="M1359" s="13"/>
      <c r="N1359" s="14"/>
    </row>
    <row r="1360" spans="1:14" x14ac:dyDescent="0.35">
      <c r="A1360" s="16" t="s">
        <v>87</v>
      </c>
      <c r="B1360" s="13" t="s">
        <v>18</v>
      </c>
      <c r="C1360" s="12">
        <v>46085</v>
      </c>
      <c r="D1360" s="8">
        <v>5.6769999999999996</v>
      </c>
      <c r="E1360" s="8">
        <v>176.30879999999999</v>
      </c>
      <c r="F1360" s="13"/>
      <c r="G1360" s="13" t="s">
        <v>88</v>
      </c>
      <c r="H1360" s="13" t="s">
        <v>89</v>
      </c>
      <c r="I1360" s="13" t="s">
        <v>19</v>
      </c>
      <c r="J1360" s="17">
        <f t="shared" si="21"/>
        <v>1000.9050575999999</v>
      </c>
      <c r="K1360" s="15" t="s">
        <v>86</v>
      </c>
      <c r="L1360" s="13"/>
      <c r="M1360" s="13"/>
      <c r="N1360" s="14"/>
    </row>
    <row r="1361" spans="1:14" x14ac:dyDescent="0.35">
      <c r="A1361" s="16" t="s">
        <v>87</v>
      </c>
      <c r="B1361" s="13" t="s">
        <v>18</v>
      </c>
      <c r="C1361" s="12">
        <v>46091</v>
      </c>
      <c r="D1361" s="8">
        <v>5.6580000000000004</v>
      </c>
      <c r="E1361" s="8">
        <v>176.9058</v>
      </c>
      <c r="F1361" s="13"/>
      <c r="G1361" s="13" t="s">
        <v>88</v>
      </c>
      <c r="H1361" s="13" t="s">
        <v>89</v>
      </c>
      <c r="I1361" s="13" t="s">
        <v>19</v>
      </c>
      <c r="J1361" s="17">
        <f t="shared" si="21"/>
        <v>1000.9330164</v>
      </c>
      <c r="K1361" s="15" t="s">
        <v>86</v>
      </c>
      <c r="L1361" s="13"/>
      <c r="M1361" s="13"/>
      <c r="N1361" s="14"/>
    </row>
    <row r="1362" spans="1:14" x14ac:dyDescent="0.35">
      <c r="A1362" s="16" t="s">
        <v>27</v>
      </c>
      <c r="B1362" s="13" t="s">
        <v>56</v>
      </c>
      <c r="C1362" s="12">
        <v>46092</v>
      </c>
      <c r="D1362" s="8">
        <v>54.256999999999998</v>
      </c>
      <c r="E1362" s="8">
        <v>18.43</v>
      </c>
      <c r="F1362" s="13"/>
      <c r="G1362" s="13" t="s">
        <v>13</v>
      </c>
      <c r="H1362" s="13" t="s">
        <v>40</v>
      </c>
      <c r="I1362" s="13" t="s">
        <v>57</v>
      </c>
      <c r="J1362" s="17">
        <f t="shared" si="21"/>
        <v>999.95650999999998</v>
      </c>
      <c r="K1362" s="15" t="s">
        <v>16</v>
      </c>
      <c r="L1362" s="13"/>
      <c r="M1362" s="13"/>
      <c r="N1362" s="14"/>
    </row>
    <row r="1363" spans="1:14" x14ac:dyDescent="0.35">
      <c r="A1363" s="16" t="s">
        <v>87</v>
      </c>
      <c r="B1363" s="13" t="s">
        <v>18</v>
      </c>
      <c r="C1363" s="12">
        <v>46098</v>
      </c>
      <c r="D1363" s="8">
        <v>5.806</v>
      </c>
      <c r="E1363" s="8">
        <v>172.4008</v>
      </c>
      <c r="F1363" s="13"/>
      <c r="G1363" s="13" t="s">
        <v>88</v>
      </c>
      <c r="H1363" s="13" t="s">
        <v>89</v>
      </c>
      <c r="I1363" s="13" t="s">
        <v>19</v>
      </c>
      <c r="J1363" s="17">
        <f t="shared" si="21"/>
        <v>1000.9590448</v>
      </c>
      <c r="K1363" s="15" t="s">
        <v>86</v>
      </c>
      <c r="L1363" s="13"/>
      <c r="M1363" s="13"/>
      <c r="N1363" s="14"/>
    </row>
    <row r="1364" spans="1:14" x14ac:dyDescent="0.35">
      <c r="A1364" s="16" t="s">
        <v>49</v>
      </c>
      <c r="B1364" s="13" t="s">
        <v>39</v>
      </c>
      <c r="C1364" s="12">
        <v>46099</v>
      </c>
      <c r="D1364" s="8">
        <v>15.606999999999999</v>
      </c>
      <c r="E1364" s="8">
        <v>160.17400000000001</v>
      </c>
      <c r="F1364" s="13"/>
      <c r="G1364" s="13" t="s">
        <v>31</v>
      </c>
      <c r="H1364" s="13" t="s">
        <v>40</v>
      </c>
      <c r="I1364" s="13" t="s">
        <v>41</v>
      </c>
      <c r="J1364" s="17">
        <f t="shared" si="21"/>
        <v>2499.8356180000001</v>
      </c>
      <c r="K1364" s="15" t="s">
        <v>32</v>
      </c>
      <c r="L1364" s="13"/>
      <c r="M1364" s="13"/>
      <c r="N1364" s="14"/>
    </row>
    <row r="1365" spans="1:14" x14ac:dyDescent="0.35">
      <c r="A1365" s="16" t="s">
        <v>74</v>
      </c>
      <c r="B1365" s="13" t="s">
        <v>42</v>
      </c>
      <c r="C1365" s="12">
        <v>46101</v>
      </c>
      <c r="D1365" s="8">
        <v>17.178999999999998</v>
      </c>
      <c r="E1365" s="8">
        <v>174.62049999999999</v>
      </c>
      <c r="F1365" s="13"/>
      <c r="G1365" s="13" t="s">
        <v>31</v>
      </c>
      <c r="H1365" s="13" t="s">
        <v>40</v>
      </c>
      <c r="I1365" s="13" t="s">
        <v>43</v>
      </c>
      <c r="J1365" s="17">
        <f t="shared" si="21"/>
        <v>2999.8055694999998</v>
      </c>
      <c r="K1365" s="15" t="s">
        <v>32</v>
      </c>
      <c r="L1365" s="13"/>
      <c r="M1365" s="13"/>
      <c r="N1365" s="14"/>
    </row>
    <row r="1366" spans="1:14" x14ac:dyDescent="0.35">
      <c r="A1366" s="16" t="s">
        <v>24</v>
      </c>
      <c r="B1366" s="13" t="s">
        <v>98</v>
      </c>
      <c r="C1366" s="12">
        <v>46104</v>
      </c>
      <c r="D1366" s="8">
        <v>568.81299999999999</v>
      </c>
      <c r="E1366" s="8">
        <v>8.7897999999999996</v>
      </c>
      <c r="F1366" s="13"/>
      <c r="G1366" s="13" t="s">
        <v>13</v>
      </c>
      <c r="H1366" s="13" t="s">
        <v>104</v>
      </c>
      <c r="I1366" s="13" t="s">
        <v>101</v>
      </c>
      <c r="J1366" s="17">
        <f t="shared" si="21"/>
        <v>4999.7525073999996</v>
      </c>
      <c r="K1366" s="15" t="s">
        <v>16</v>
      </c>
      <c r="L1366" s="13"/>
      <c r="M1366" s="13"/>
      <c r="N1366" s="14"/>
    </row>
    <row r="1367" spans="1:14" x14ac:dyDescent="0.35">
      <c r="A1367" s="16" t="s">
        <v>87</v>
      </c>
      <c r="B1367" s="13" t="s">
        <v>18</v>
      </c>
      <c r="C1367" s="12">
        <v>46105</v>
      </c>
      <c r="D1367" s="8">
        <v>5.9279999999999999</v>
      </c>
      <c r="E1367" s="8">
        <v>168.83770000000001</v>
      </c>
      <c r="F1367" s="13"/>
      <c r="G1367" s="13" t="s">
        <v>88</v>
      </c>
      <c r="H1367" s="13" t="s">
        <v>89</v>
      </c>
      <c r="I1367" s="13" t="s">
        <v>19</v>
      </c>
      <c r="J1367" s="17">
        <f t="shared" si="21"/>
        <v>1000.8698856000001</v>
      </c>
      <c r="K1367" s="15" t="s">
        <v>86</v>
      </c>
      <c r="L1367" s="13"/>
      <c r="M1367" s="13"/>
      <c r="N1367" s="14"/>
    </row>
    <row r="1368" spans="1:14" x14ac:dyDescent="0.35">
      <c r="A1368" s="16" t="s">
        <v>65</v>
      </c>
      <c r="B1368" s="13" t="s">
        <v>54</v>
      </c>
      <c r="C1368" s="12">
        <v>46106</v>
      </c>
      <c r="D1368" s="8">
        <v>45.295999999999999</v>
      </c>
      <c r="E1368" s="8">
        <v>110.38</v>
      </c>
      <c r="F1368" s="13"/>
      <c r="G1368" s="13" t="s">
        <v>38</v>
      </c>
      <c r="H1368" s="13" t="s">
        <v>66</v>
      </c>
      <c r="I1368" s="13" t="s">
        <v>55</v>
      </c>
      <c r="J1368" s="17">
        <f t="shared" si="21"/>
        <v>4999.7724799999996</v>
      </c>
      <c r="K1368" s="15" t="s">
        <v>16</v>
      </c>
      <c r="L1368" s="13"/>
      <c r="M1368" s="13"/>
      <c r="N1368" s="14"/>
    </row>
    <row r="1369" spans="1:14" x14ac:dyDescent="0.35">
      <c r="A1369" s="16" t="s">
        <v>67</v>
      </c>
      <c r="B1369" s="13" t="s">
        <v>54</v>
      </c>
      <c r="C1369" s="12">
        <v>46106</v>
      </c>
      <c r="D1369" s="8">
        <v>45.295999999999999</v>
      </c>
      <c r="E1369" s="8">
        <v>110.38</v>
      </c>
      <c r="F1369" s="13"/>
      <c r="G1369" s="13" t="s">
        <v>38</v>
      </c>
      <c r="H1369" s="13" t="s">
        <v>68</v>
      </c>
      <c r="I1369" s="13" t="s">
        <v>55</v>
      </c>
      <c r="J1369" s="17">
        <f t="shared" si="21"/>
        <v>4999.7724799999996</v>
      </c>
      <c r="K1369" s="15" t="s">
        <v>16</v>
      </c>
      <c r="L1369" s="13"/>
      <c r="M1369" s="13"/>
      <c r="N1369" s="14"/>
    </row>
    <row r="1370" spans="1:14" x14ac:dyDescent="0.35">
      <c r="A1370" s="16" t="s">
        <v>24</v>
      </c>
      <c r="B1370" s="13" t="s">
        <v>98</v>
      </c>
      <c r="C1370" s="12">
        <v>46108</v>
      </c>
      <c r="D1370" s="8">
        <v>112.214</v>
      </c>
      <c r="E1370" s="8">
        <v>8.9110999999999994</v>
      </c>
      <c r="F1370" s="13"/>
      <c r="G1370" s="13" t="s">
        <v>13</v>
      </c>
      <c r="H1370" s="13" t="s">
        <v>104</v>
      </c>
      <c r="I1370" s="13" t="s">
        <v>101</v>
      </c>
      <c r="J1370" s="17">
        <f t="shared" si="21"/>
        <v>999.95017539999992</v>
      </c>
      <c r="K1370" s="15" t="s">
        <v>16</v>
      </c>
      <c r="L1370" s="13"/>
      <c r="M1370" s="13"/>
      <c r="N1370" s="14"/>
    </row>
    <row r="1371" spans="1:14" x14ac:dyDescent="0.35">
      <c r="A1371" s="16" t="s">
        <v>84</v>
      </c>
      <c r="B1371" s="13" t="s">
        <v>25</v>
      </c>
      <c r="C1371" s="12">
        <v>46114</v>
      </c>
      <c r="D1371" s="8">
        <v>576.28</v>
      </c>
      <c r="E1371" s="8">
        <v>86.515500000000003</v>
      </c>
      <c r="F1371" s="13">
        <v>52159004992</v>
      </c>
      <c r="G1371" s="13" t="s">
        <v>85</v>
      </c>
      <c r="H1371" s="13" t="s">
        <v>83</v>
      </c>
      <c r="I1371" s="13" t="s">
        <v>26</v>
      </c>
      <c r="J1371" s="17">
        <f t="shared" si="21"/>
        <v>49857.152340000001</v>
      </c>
      <c r="K1371" s="15" t="s">
        <v>86</v>
      </c>
      <c r="L1371" s="13"/>
      <c r="M1371" s="13"/>
      <c r="N1371" s="14"/>
    </row>
    <row r="1372" spans="1:14" x14ac:dyDescent="0.35">
      <c r="A1372" s="16" t="s">
        <v>84</v>
      </c>
      <c r="B1372" s="13" t="s">
        <v>98</v>
      </c>
      <c r="C1372" s="12">
        <v>46114</v>
      </c>
      <c r="D1372" s="8">
        <v>1123.625</v>
      </c>
      <c r="E1372" s="8">
        <v>8.8743999999999996</v>
      </c>
      <c r="F1372" s="13" t="s">
        <v>102</v>
      </c>
      <c r="G1372" s="13" t="s">
        <v>85</v>
      </c>
      <c r="H1372" s="13" t="s">
        <v>100</v>
      </c>
      <c r="I1372" s="13" t="s">
        <v>101</v>
      </c>
      <c r="J1372" s="17">
        <f t="shared" si="21"/>
        <v>9971.4976999999999</v>
      </c>
      <c r="K1372" s="15" t="s">
        <v>86</v>
      </c>
      <c r="L1372" s="13"/>
      <c r="M1372" s="13"/>
      <c r="N1372" s="14"/>
    </row>
    <row r="1373" spans="1:14" x14ac:dyDescent="0.35">
      <c r="A1373" s="16" t="s">
        <v>87</v>
      </c>
      <c r="B1373" s="26" t="s">
        <v>18</v>
      </c>
      <c r="C1373" s="27">
        <v>46114</v>
      </c>
      <c r="D1373" s="28">
        <v>5.89</v>
      </c>
      <c r="E1373" s="28">
        <v>169.9426</v>
      </c>
      <c r="F1373" s="26"/>
      <c r="G1373" s="26" t="s">
        <v>88</v>
      </c>
      <c r="H1373" s="26" t="s">
        <v>89</v>
      </c>
      <c r="I1373" s="26" t="s">
        <v>19</v>
      </c>
      <c r="J1373" s="29">
        <f t="shared" si="21"/>
        <v>1000.961914</v>
      </c>
      <c r="K1373" s="30" t="s">
        <v>86</v>
      </c>
      <c r="L1373" s="26"/>
      <c r="M1373" s="26"/>
      <c r="N1373" s="31"/>
    </row>
    <row r="1374" spans="1:14" x14ac:dyDescent="0.35">
      <c r="A1374" s="16" t="s">
        <v>84</v>
      </c>
      <c r="B1374" s="13" t="s">
        <v>25</v>
      </c>
      <c r="C1374" s="27">
        <v>46118</v>
      </c>
      <c r="D1374" s="28">
        <v>170.86</v>
      </c>
      <c r="E1374" s="28">
        <v>87.490499999999997</v>
      </c>
      <c r="F1374" s="26">
        <v>52159626682</v>
      </c>
      <c r="G1374" s="13" t="s">
        <v>85</v>
      </c>
      <c r="H1374" s="13" t="s">
        <v>83</v>
      </c>
      <c r="I1374" s="13" t="s">
        <v>26</v>
      </c>
      <c r="J1374" s="17">
        <f t="shared" si="21"/>
        <v>14948.626830000001</v>
      </c>
      <c r="K1374" s="15" t="s">
        <v>86</v>
      </c>
      <c r="L1374" s="26"/>
      <c r="M1374" s="26"/>
      <c r="N1374" s="31"/>
    </row>
    <row r="1375" spans="1:14" x14ac:dyDescent="0.35">
      <c r="A1375" s="16" t="s">
        <v>84</v>
      </c>
      <c r="B1375" s="13" t="s">
        <v>98</v>
      </c>
      <c r="C1375" s="27">
        <v>46118</v>
      </c>
      <c r="D1375" s="28">
        <v>1110.1400000000001</v>
      </c>
      <c r="E1375" s="28">
        <v>8.9768000000000008</v>
      </c>
      <c r="F1375" s="26" t="s">
        <v>102</v>
      </c>
      <c r="G1375" s="13" t="s">
        <v>85</v>
      </c>
      <c r="H1375" s="13" t="s">
        <v>100</v>
      </c>
      <c r="I1375" s="13" t="s">
        <v>101</v>
      </c>
      <c r="J1375" s="17">
        <f t="shared" si="21"/>
        <v>9965.5047520000026</v>
      </c>
      <c r="K1375" s="15" t="s">
        <v>86</v>
      </c>
      <c r="L1375" s="26"/>
      <c r="M1375" s="26"/>
      <c r="N1375" s="31"/>
    </row>
    <row r="1376" spans="1:14" x14ac:dyDescent="0.35">
      <c r="A1376" s="16" t="s">
        <v>37</v>
      </c>
      <c r="B1376" s="13" t="s">
        <v>25</v>
      </c>
      <c r="C1376" s="27">
        <v>46118</v>
      </c>
      <c r="D1376" s="28">
        <v>398.15</v>
      </c>
      <c r="E1376" s="28">
        <v>87.490499999999997</v>
      </c>
      <c r="F1376" s="26">
        <v>52159630150</v>
      </c>
      <c r="G1376" s="13" t="s">
        <v>38</v>
      </c>
      <c r="H1376" s="13"/>
      <c r="I1376" s="13" t="s">
        <v>26</v>
      </c>
      <c r="J1376" s="17">
        <f t="shared" si="21"/>
        <v>34834.342574999995</v>
      </c>
      <c r="K1376" s="15" t="s">
        <v>16</v>
      </c>
      <c r="L1376" s="26"/>
      <c r="M1376" s="26"/>
      <c r="N1376" s="31"/>
    </row>
    <row r="1377" spans="1:14" x14ac:dyDescent="0.35">
      <c r="A1377" s="16" t="s">
        <v>24</v>
      </c>
      <c r="B1377" s="13" t="s">
        <v>25</v>
      </c>
      <c r="C1377" s="27">
        <v>46118</v>
      </c>
      <c r="D1377" s="28">
        <v>513.64</v>
      </c>
      <c r="E1377" s="28">
        <v>87.490499999999997</v>
      </c>
      <c r="F1377" s="26">
        <v>52159629967</v>
      </c>
      <c r="G1377" s="13" t="s">
        <v>13</v>
      </c>
      <c r="H1377" s="13" t="s">
        <v>104</v>
      </c>
      <c r="I1377" s="13" t="s">
        <v>26</v>
      </c>
      <c r="J1377" s="17">
        <f t="shared" si="21"/>
        <v>44938.620419999999</v>
      </c>
      <c r="K1377" s="15" t="s">
        <v>16</v>
      </c>
      <c r="L1377" s="26"/>
      <c r="M1377" s="26"/>
      <c r="N1377" s="31"/>
    </row>
    <row r="1378" spans="1:14" x14ac:dyDescent="0.35">
      <c r="A1378" s="16" t="s">
        <v>24</v>
      </c>
      <c r="B1378" s="13" t="s">
        <v>98</v>
      </c>
      <c r="C1378" s="27">
        <v>46118</v>
      </c>
      <c r="D1378" s="28">
        <v>1668.66</v>
      </c>
      <c r="E1378" s="28">
        <v>8.9768000000000008</v>
      </c>
      <c r="F1378" s="26">
        <v>52159630068</v>
      </c>
      <c r="G1378" s="13" t="s">
        <v>13</v>
      </c>
      <c r="H1378" s="13" t="s">
        <v>104</v>
      </c>
      <c r="I1378" s="13" t="s">
        <v>101</v>
      </c>
      <c r="J1378" s="17">
        <f t="shared" si="21"/>
        <v>14979.227088000001</v>
      </c>
      <c r="K1378" s="15" t="s">
        <v>16</v>
      </c>
      <c r="L1378" s="26"/>
      <c r="M1378" s="26"/>
      <c r="N1378" s="31"/>
    </row>
    <row r="1379" spans="1:14" x14ac:dyDescent="0.35">
      <c r="A1379" s="16" t="s">
        <v>24</v>
      </c>
      <c r="B1379" s="13" t="s">
        <v>98</v>
      </c>
      <c r="C1379" s="27">
        <v>46118</v>
      </c>
      <c r="D1379" s="28">
        <v>445.01</v>
      </c>
      <c r="E1379" s="28">
        <v>8.9768000000000008</v>
      </c>
      <c r="F1379" s="26">
        <v>52159630068</v>
      </c>
      <c r="G1379" s="13" t="s">
        <v>13</v>
      </c>
      <c r="H1379" s="13" t="s">
        <v>104</v>
      </c>
      <c r="I1379" s="13" t="s">
        <v>101</v>
      </c>
      <c r="J1379" s="17">
        <f t="shared" si="21"/>
        <v>3994.7657680000002</v>
      </c>
      <c r="K1379" s="15" t="s">
        <v>16</v>
      </c>
      <c r="L1379" s="26"/>
      <c r="M1379" s="26"/>
      <c r="N1379" s="31"/>
    </row>
    <row r="1380" spans="1:14" x14ac:dyDescent="0.35">
      <c r="A1380" s="16" t="s">
        <v>84</v>
      </c>
      <c r="B1380" s="13" t="s">
        <v>25</v>
      </c>
      <c r="C1380" s="27">
        <v>46120</v>
      </c>
      <c r="D1380" s="28">
        <v>1111.6400000000001</v>
      </c>
      <c r="E1380" s="28">
        <v>90.132499999999993</v>
      </c>
      <c r="F1380" s="26">
        <v>52160789796</v>
      </c>
      <c r="G1380" s="13" t="s">
        <v>85</v>
      </c>
      <c r="H1380" s="13" t="s">
        <v>83</v>
      </c>
      <c r="I1380" s="13" t="s">
        <v>26</v>
      </c>
      <c r="J1380" s="17">
        <f t="shared" si="21"/>
        <v>100194.89230000001</v>
      </c>
      <c r="K1380" s="15" t="s">
        <v>86</v>
      </c>
      <c r="L1380" s="26"/>
      <c r="M1380" s="26"/>
      <c r="N1380" s="31"/>
    </row>
    <row r="1381" spans="1:14" x14ac:dyDescent="0.35">
      <c r="A1381" s="16" t="s">
        <v>84</v>
      </c>
      <c r="B1381" s="13" t="s">
        <v>25</v>
      </c>
      <c r="C1381" s="27">
        <v>46121</v>
      </c>
      <c r="D1381" s="28">
        <v>2488.65</v>
      </c>
      <c r="E1381" s="28">
        <v>90.073700000000002</v>
      </c>
      <c r="F1381" s="26">
        <v>52160789023</v>
      </c>
      <c r="G1381" s="13" t="s">
        <v>85</v>
      </c>
      <c r="H1381" s="13" t="s">
        <v>83</v>
      </c>
      <c r="I1381" s="13" t="s">
        <v>26</v>
      </c>
      <c r="J1381" s="17">
        <f t="shared" si="21"/>
        <v>224161.913505</v>
      </c>
      <c r="K1381" s="15" t="s">
        <v>86</v>
      </c>
      <c r="L1381" s="26"/>
      <c r="M1381" s="26"/>
      <c r="N1381" s="31"/>
    </row>
    <row r="1382" spans="1:14" x14ac:dyDescent="0.35">
      <c r="A1382" s="32" t="s">
        <v>84</v>
      </c>
      <c r="B1382" s="26" t="s">
        <v>98</v>
      </c>
      <c r="C1382" s="27">
        <v>46121</v>
      </c>
      <c r="D1382" s="28">
        <v>9620.5529999999999</v>
      </c>
      <c r="E1382" s="28">
        <v>9.3201000000000001</v>
      </c>
      <c r="F1382" s="26" t="s">
        <v>102</v>
      </c>
      <c r="G1382" s="26" t="s">
        <v>85</v>
      </c>
      <c r="H1382" s="26" t="s">
        <v>100</v>
      </c>
      <c r="I1382" s="26" t="s">
        <v>101</v>
      </c>
      <c r="J1382" s="29">
        <f t="shared" si="21"/>
        <v>89664.516015300003</v>
      </c>
      <c r="K1382" s="30" t="s">
        <v>86</v>
      </c>
      <c r="L1382" s="26"/>
      <c r="M1382" s="26"/>
      <c r="N1382" s="31"/>
    </row>
    <row r="1383" spans="1:14" x14ac:dyDescent="0.35">
      <c r="A1383" s="32" t="s">
        <v>93</v>
      </c>
      <c r="B1383" s="26" t="s">
        <v>91</v>
      </c>
      <c r="C1383" s="27">
        <v>46121</v>
      </c>
      <c r="D1383" s="28">
        <v>34.341999999999999</v>
      </c>
      <c r="E1383" s="28">
        <v>145.58500000000001</v>
      </c>
      <c r="F1383" s="26"/>
      <c r="G1383" s="26" t="s">
        <v>85</v>
      </c>
      <c r="H1383" s="26" t="s">
        <v>94</v>
      </c>
      <c r="I1383" s="26" t="s">
        <v>92</v>
      </c>
      <c r="J1383" s="29">
        <f t="shared" si="21"/>
        <v>4999.6800700000003</v>
      </c>
      <c r="K1383" s="30" t="s">
        <v>86</v>
      </c>
      <c r="L1383" s="26"/>
      <c r="M1383" s="26"/>
      <c r="N1383" s="31"/>
    </row>
    <row r="1384" spans="1:14" x14ac:dyDescent="0.35">
      <c r="A1384" s="32" t="s">
        <v>87</v>
      </c>
      <c r="B1384" s="26" t="s">
        <v>18</v>
      </c>
      <c r="C1384" s="27">
        <v>46121</v>
      </c>
      <c r="D1384" s="28">
        <v>5.6219999999999999</v>
      </c>
      <c r="E1384" s="28">
        <v>178.04159999999999</v>
      </c>
      <c r="F1384" s="26"/>
      <c r="G1384" s="26" t="s">
        <v>88</v>
      </c>
      <c r="H1384" s="26" t="s">
        <v>89</v>
      </c>
      <c r="I1384" s="26" t="s">
        <v>19</v>
      </c>
      <c r="J1384" s="29">
        <f t="shared" si="21"/>
        <v>1000.9498752</v>
      </c>
      <c r="K1384" s="30" t="s">
        <v>86</v>
      </c>
      <c r="L1384" s="26"/>
      <c r="M1384" s="26"/>
      <c r="N1384" s="31"/>
    </row>
    <row r="1385" spans="1:14" x14ac:dyDescent="0.35">
      <c r="A1385" s="32" t="s">
        <v>24</v>
      </c>
      <c r="B1385" s="13" t="s">
        <v>25</v>
      </c>
      <c r="C1385" s="27">
        <v>46121</v>
      </c>
      <c r="D1385" s="28">
        <v>1718</v>
      </c>
      <c r="E1385" s="28">
        <v>90.073700000000002</v>
      </c>
      <c r="F1385" s="26">
        <v>52160769171</v>
      </c>
      <c r="G1385" s="26" t="s">
        <v>13</v>
      </c>
      <c r="H1385" s="26" t="s">
        <v>104</v>
      </c>
      <c r="I1385" s="26" t="s">
        <v>26</v>
      </c>
      <c r="J1385" s="29">
        <f t="shared" si="21"/>
        <v>154746.61660000001</v>
      </c>
      <c r="K1385" s="30" t="s">
        <v>16</v>
      </c>
      <c r="L1385" s="26"/>
      <c r="M1385" s="26"/>
      <c r="N1385" s="31"/>
    </row>
    <row r="1386" spans="1:14" x14ac:dyDescent="0.35">
      <c r="A1386" s="32" t="s">
        <v>24</v>
      </c>
      <c r="B1386" s="13" t="s">
        <v>98</v>
      </c>
      <c r="C1386" s="27">
        <v>46121</v>
      </c>
      <c r="D1386" s="28">
        <v>16603.5</v>
      </c>
      <c r="E1386" s="28">
        <v>9.3201000000000001</v>
      </c>
      <c r="F1386" s="26">
        <v>52160788483</v>
      </c>
      <c r="G1386" s="26" t="s">
        <v>13</v>
      </c>
      <c r="H1386" s="26" t="s">
        <v>104</v>
      </c>
      <c r="I1386" s="26" t="s">
        <v>101</v>
      </c>
      <c r="J1386" s="29">
        <f t="shared" si="21"/>
        <v>154746.28034999999</v>
      </c>
      <c r="K1386" s="30" t="s">
        <v>16</v>
      </c>
      <c r="L1386" s="26"/>
      <c r="M1386" s="26"/>
      <c r="N1386" s="31"/>
    </row>
    <row r="1387" spans="1:14" x14ac:dyDescent="0.35">
      <c r="A1387" s="16" t="s">
        <v>27</v>
      </c>
      <c r="B1387" s="13" t="s">
        <v>56</v>
      </c>
      <c r="C1387" s="27">
        <v>46125</v>
      </c>
      <c r="D1387" s="28">
        <v>52.573999999999998</v>
      </c>
      <c r="E1387" s="28">
        <v>19.02</v>
      </c>
      <c r="F1387" s="26"/>
      <c r="G1387" s="13" t="s">
        <v>13</v>
      </c>
      <c r="H1387" s="26" t="s">
        <v>40</v>
      </c>
      <c r="I1387" s="13" t="s">
        <v>57</v>
      </c>
      <c r="J1387" s="29">
        <f t="shared" si="21"/>
        <v>999.95747999999992</v>
      </c>
      <c r="K1387" s="30" t="s">
        <v>16</v>
      </c>
      <c r="L1387" s="26"/>
      <c r="M1387" s="26"/>
      <c r="N1387" s="31"/>
    </row>
    <row r="1388" spans="1:14" x14ac:dyDescent="0.35">
      <c r="A1388" s="16" t="s">
        <v>87</v>
      </c>
      <c r="B1388" s="13" t="s">
        <v>18</v>
      </c>
      <c r="C1388" s="27">
        <v>46128</v>
      </c>
      <c r="D1388" s="28">
        <v>5.3719999999999999</v>
      </c>
      <c r="E1388" s="28">
        <v>186.33519999999999</v>
      </c>
      <c r="F1388" s="26"/>
      <c r="G1388" s="13" t="s">
        <v>88</v>
      </c>
      <c r="H1388" s="26" t="s">
        <v>89</v>
      </c>
      <c r="I1388" s="13" t="s">
        <v>19</v>
      </c>
      <c r="J1388" s="29">
        <f t="shared" si="21"/>
        <v>1000.9926943999999</v>
      </c>
      <c r="K1388" s="30" t="s">
        <v>86</v>
      </c>
      <c r="L1388" s="26"/>
      <c r="M1388" s="26"/>
      <c r="N1388" s="31"/>
    </row>
    <row r="1389" spans="1:14" x14ac:dyDescent="0.35">
      <c r="A1389" s="32" t="s">
        <v>74</v>
      </c>
      <c r="B1389" s="26" t="s">
        <v>42</v>
      </c>
      <c r="C1389" s="27">
        <v>46132</v>
      </c>
      <c r="D1389" s="28">
        <v>15.701000000000001</v>
      </c>
      <c r="E1389" s="28">
        <v>191.0583</v>
      </c>
      <c r="F1389" s="26">
        <v>7394678784</v>
      </c>
      <c r="G1389" s="26" t="s">
        <v>31</v>
      </c>
      <c r="H1389" s="26" t="s">
        <v>40</v>
      </c>
      <c r="I1389" s="26" t="s">
        <v>43</v>
      </c>
      <c r="J1389" s="29">
        <f t="shared" si="21"/>
        <v>2999.8063683</v>
      </c>
      <c r="K1389" s="30" t="s">
        <v>32</v>
      </c>
      <c r="L1389" s="26"/>
      <c r="M1389" s="26"/>
      <c r="N1389" s="31"/>
    </row>
    <row r="1390" spans="1:14" x14ac:dyDescent="0.35">
      <c r="A1390" s="32" t="s">
        <v>49</v>
      </c>
      <c r="B1390" s="26" t="s">
        <v>39</v>
      </c>
      <c r="C1390" s="27">
        <v>46132</v>
      </c>
      <c r="D1390" s="28">
        <v>14.579000000000001</v>
      </c>
      <c r="E1390" s="28">
        <v>171.47200000000001</v>
      </c>
      <c r="F1390" s="26"/>
      <c r="G1390" s="26" t="s">
        <v>31</v>
      </c>
      <c r="H1390" s="26" t="s">
        <v>40</v>
      </c>
      <c r="I1390" s="26" t="s">
        <v>41</v>
      </c>
      <c r="J1390" s="29">
        <f t="shared" si="21"/>
        <v>2499.8902880000001</v>
      </c>
      <c r="K1390" s="30" t="s">
        <v>32</v>
      </c>
      <c r="L1390" s="26"/>
      <c r="M1390" s="26"/>
      <c r="N1390" s="31"/>
    </row>
    <row r="1391" spans="1:14" x14ac:dyDescent="0.35">
      <c r="A1391" s="32" t="s">
        <v>37</v>
      </c>
      <c r="B1391" s="26" t="s">
        <v>25</v>
      </c>
      <c r="C1391" s="27">
        <v>46133</v>
      </c>
      <c r="D1391" s="28">
        <v>165.55</v>
      </c>
      <c r="E1391" s="28">
        <v>92.191299999999998</v>
      </c>
      <c r="F1391" s="26">
        <v>52163150271</v>
      </c>
      <c r="G1391" s="26" t="s">
        <v>38</v>
      </c>
      <c r="H1391" s="26"/>
      <c r="I1391" s="26" t="s">
        <v>26</v>
      </c>
      <c r="J1391" s="29">
        <f t="shared" si="21"/>
        <v>15262.269715</v>
      </c>
      <c r="K1391" s="30" t="s">
        <v>16</v>
      </c>
      <c r="L1391" s="26"/>
      <c r="M1391" s="26"/>
      <c r="N1391" s="31"/>
    </row>
    <row r="1392" spans="1:14" x14ac:dyDescent="0.35">
      <c r="A1392" s="32" t="s">
        <v>87</v>
      </c>
      <c r="B1392" s="26" t="s">
        <v>18</v>
      </c>
      <c r="C1392" s="27">
        <v>46135</v>
      </c>
      <c r="D1392" s="28">
        <v>5.234</v>
      </c>
      <c r="E1392" s="28">
        <v>191.24440000000001</v>
      </c>
      <c r="F1392" s="26"/>
      <c r="G1392" s="26" t="s">
        <v>88</v>
      </c>
      <c r="H1392" s="26" t="s">
        <v>89</v>
      </c>
      <c r="I1392" s="26" t="s">
        <v>19</v>
      </c>
      <c r="J1392" s="29">
        <f t="shared" si="21"/>
        <v>1000.9731896000001</v>
      </c>
      <c r="K1392" s="30" t="s">
        <v>86</v>
      </c>
      <c r="L1392" s="26"/>
      <c r="M1392" s="26"/>
      <c r="N1392" s="31"/>
    </row>
    <row r="1393" spans="1:14" x14ac:dyDescent="0.35">
      <c r="A1393" s="32" t="s">
        <v>24</v>
      </c>
      <c r="B1393" s="26" t="s">
        <v>98</v>
      </c>
      <c r="C1393" s="27">
        <v>46135</v>
      </c>
      <c r="D1393" s="28">
        <v>2089.14</v>
      </c>
      <c r="E1393" s="28">
        <v>9.5494000000000003</v>
      </c>
      <c r="F1393" s="26">
        <v>52163393158</v>
      </c>
      <c r="G1393" s="26" t="s">
        <v>13</v>
      </c>
      <c r="H1393" s="26" t="s">
        <v>104</v>
      </c>
      <c r="I1393" s="26" t="s">
        <v>101</v>
      </c>
      <c r="J1393" s="29">
        <f t="shared" si="21"/>
        <v>19950.033516</v>
      </c>
      <c r="K1393" s="30" t="s">
        <v>16</v>
      </c>
      <c r="L1393" s="26"/>
      <c r="M1393" s="26"/>
      <c r="N1393" s="31"/>
    </row>
    <row r="1394" spans="1:14" x14ac:dyDescent="0.35">
      <c r="A1394" s="32" t="s">
        <v>27</v>
      </c>
      <c r="B1394" s="26" t="s">
        <v>71</v>
      </c>
      <c r="C1394" s="27">
        <v>46136</v>
      </c>
      <c r="D1394" s="28">
        <v>262.07900000000001</v>
      </c>
      <c r="E1394" s="28">
        <v>41.97</v>
      </c>
      <c r="F1394" s="26"/>
      <c r="G1394" s="26" t="s">
        <v>13</v>
      </c>
      <c r="H1394" s="26" t="s">
        <v>72</v>
      </c>
      <c r="I1394" s="26" t="s">
        <v>73</v>
      </c>
      <c r="J1394" s="29">
        <f t="shared" si="21"/>
        <v>10999.45563</v>
      </c>
      <c r="K1394" s="30" t="s">
        <v>16</v>
      </c>
      <c r="L1394" s="26"/>
      <c r="M1394" s="26"/>
      <c r="N1394" s="31"/>
    </row>
    <row r="1395" spans="1:14" x14ac:dyDescent="0.35">
      <c r="A1395" s="32" t="s">
        <v>65</v>
      </c>
      <c r="B1395" s="26" t="s">
        <v>54</v>
      </c>
      <c r="C1395" s="27">
        <v>46139</v>
      </c>
      <c r="D1395" s="28">
        <v>40.758000000000003</v>
      </c>
      <c r="E1395" s="28">
        <v>122.67</v>
      </c>
      <c r="F1395" s="26"/>
      <c r="G1395" s="26" t="s">
        <v>38</v>
      </c>
      <c r="H1395" s="26" t="s">
        <v>66</v>
      </c>
      <c r="I1395" s="26" t="s">
        <v>55</v>
      </c>
      <c r="J1395" s="29">
        <f t="shared" si="21"/>
        <v>4999.7838600000005</v>
      </c>
      <c r="K1395" s="30" t="s">
        <v>16</v>
      </c>
      <c r="L1395" s="26"/>
      <c r="M1395" s="26"/>
      <c r="N1395" s="31"/>
    </row>
    <row r="1396" spans="1:14" x14ac:dyDescent="0.35">
      <c r="A1396" s="32" t="s">
        <v>67</v>
      </c>
      <c r="B1396" s="26" t="s">
        <v>54</v>
      </c>
      <c r="C1396" s="27">
        <v>46139</v>
      </c>
      <c r="D1396" s="28">
        <v>40.758000000000003</v>
      </c>
      <c r="E1396" s="28">
        <v>122.67</v>
      </c>
      <c r="F1396" s="26"/>
      <c r="G1396" s="26" t="s">
        <v>38</v>
      </c>
      <c r="H1396" s="26" t="s">
        <v>68</v>
      </c>
      <c r="I1396" s="26" t="s">
        <v>55</v>
      </c>
      <c r="J1396" s="29">
        <f t="shared" si="21"/>
        <v>4999.7838600000005</v>
      </c>
      <c r="K1396" s="30" t="s">
        <v>16</v>
      </c>
      <c r="L1396" s="26"/>
      <c r="M1396" s="26"/>
      <c r="N1396" s="31"/>
    </row>
    <row r="1397" spans="1:14" x14ac:dyDescent="0.35">
      <c r="A1397" s="32" t="s">
        <v>81</v>
      </c>
      <c r="B1397" s="26" t="s">
        <v>25</v>
      </c>
      <c r="C1397" s="27">
        <v>46139</v>
      </c>
      <c r="D1397" s="28">
        <v>823.76</v>
      </c>
      <c r="E1397" s="28">
        <v>91.041799999999995</v>
      </c>
      <c r="F1397" s="26">
        <v>52164278884</v>
      </c>
      <c r="G1397" s="26" t="s">
        <v>82</v>
      </c>
      <c r="H1397" s="26" t="s">
        <v>83</v>
      </c>
      <c r="I1397" s="26" t="s">
        <v>26</v>
      </c>
      <c r="J1397" s="29">
        <f t="shared" si="21"/>
        <v>74996.593167999992</v>
      </c>
      <c r="K1397" s="30" t="s">
        <v>16</v>
      </c>
      <c r="L1397" s="26"/>
      <c r="M1397" s="26"/>
      <c r="N1397" s="31"/>
    </row>
    <row r="1398" spans="1:14" x14ac:dyDescent="0.35">
      <c r="A1398" s="32" t="s">
        <v>84</v>
      </c>
      <c r="B1398" s="26" t="s">
        <v>105</v>
      </c>
      <c r="C1398" s="27">
        <v>46139</v>
      </c>
      <c r="D1398" s="28">
        <v>1093.18</v>
      </c>
      <c r="E1398" s="28">
        <v>91.041799999999995</v>
      </c>
      <c r="F1398" s="26">
        <v>52163914958</v>
      </c>
      <c r="G1398" s="26" t="s">
        <v>85</v>
      </c>
      <c r="H1398" s="26" t="s">
        <v>83</v>
      </c>
      <c r="I1398" s="26" t="s">
        <v>26</v>
      </c>
      <c r="J1398" s="29">
        <f t="shared" si="21"/>
        <v>99525.074924</v>
      </c>
      <c r="K1398" s="30" t="s">
        <v>86</v>
      </c>
      <c r="L1398" s="26"/>
      <c r="M1398" s="26"/>
      <c r="N1398" s="31"/>
    </row>
    <row r="1399" spans="1:14" x14ac:dyDescent="0.35">
      <c r="A1399" s="32" t="s">
        <v>37</v>
      </c>
      <c r="B1399" s="26" t="s">
        <v>98</v>
      </c>
      <c r="C1399" s="27">
        <v>46139</v>
      </c>
      <c r="D1399" s="28">
        <v>1042.3499999999999</v>
      </c>
      <c r="E1399" s="28">
        <v>9.5375999999999994</v>
      </c>
      <c r="F1399" s="26">
        <v>52163913005</v>
      </c>
      <c r="G1399" s="26" t="s">
        <v>38</v>
      </c>
      <c r="H1399" s="26" t="s">
        <v>106</v>
      </c>
      <c r="I1399" s="26" t="s">
        <v>101</v>
      </c>
      <c r="J1399" s="29">
        <f t="shared" si="21"/>
        <v>9941.517359999998</v>
      </c>
      <c r="K1399" s="30" t="s">
        <v>16</v>
      </c>
      <c r="L1399" s="26"/>
      <c r="M1399" s="26"/>
      <c r="N1399" s="31"/>
    </row>
    <row r="1400" spans="1:14" x14ac:dyDescent="0.35">
      <c r="A1400" s="32" t="s">
        <v>24</v>
      </c>
      <c r="B1400" s="26" t="s">
        <v>25</v>
      </c>
      <c r="C1400" s="27">
        <v>46139</v>
      </c>
      <c r="D1400" s="28">
        <v>1095.46</v>
      </c>
      <c r="E1400" s="28">
        <v>91.041799999999995</v>
      </c>
      <c r="F1400" s="26">
        <v>52163914849</v>
      </c>
      <c r="G1400" s="26" t="s">
        <v>13</v>
      </c>
      <c r="H1400" s="26" t="s">
        <v>104</v>
      </c>
      <c r="I1400" s="26" t="s">
        <v>26</v>
      </c>
      <c r="J1400" s="29">
        <f t="shared" si="21"/>
        <v>99732.650227999999</v>
      </c>
      <c r="K1400" s="30" t="s">
        <v>16</v>
      </c>
      <c r="L1400" s="26"/>
      <c r="M1400" s="26"/>
      <c r="N1400" s="31"/>
    </row>
    <row r="1401" spans="1:14" x14ac:dyDescent="0.35">
      <c r="A1401" s="32" t="s">
        <v>24</v>
      </c>
      <c r="B1401" s="26" t="s">
        <v>98</v>
      </c>
      <c r="C1401" s="27">
        <v>46139</v>
      </c>
      <c r="D1401" s="28">
        <v>10456.83</v>
      </c>
      <c r="E1401" s="28">
        <v>9.5375999999999994</v>
      </c>
      <c r="F1401" s="26">
        <v>52163393158</v>
      </c>
      <c r="G1401" s="26" t="s">
        <v>13</v>
      </c>
      <c r="H1401" s="26" t="s">
        <v>104</v>
      </c>
      <c r="I1401" s="26" t="s">
        <v>101</v>
      </c>
      <c r="J1401" s="29">
        <f t="shared" si="21"/>
        <v>99733.061807999999</v>
      </c>
      <c r="K1401" s="30" t="s">
        <v>16</v>
      </c>
      <c r="L1401" s="26"/>
      <c r="M1401" s="26"/>
      <c r="N1401" s="31"/>
    </row>
    <row r="1402" spans="1:14" x14ac:dyDescent="0.35">
      <c r="A1402" s="32" t="s">
        <v>81</v>
      </c>
      <c r="B1402" s="26" t="s">
        <v>25</v>
      </c>
      <c r="C1402" s="27">
        <v>46140</v>
      </c>
      <c r="D1402" s="28">
        <v>38.58</v>
      </c>
      <c r="E1402" s="28">
        <v>90.726399999999998</v>
      </c>
      <c r="F1402" s="26">
        <v>52164516618</v>
      </c>
      <c r="G1402" s="26" t="s">
        <v>82</v>
      </c>
      <c r="H1402" s="26" t="s">
        <v>83</v>
      </c>
      <c r="I1402" s="29" t="s">
        <v>26</v>
      </c>
      <c r="J1402" s="29">
        <f t="shared" si="21"/>
        <v>3500.2245119999998</v>
      </c>
      <c r="K1402" s="30" t="s">
        <v>16</v>
      </c>
      <c r="L1402" s="26"/>
      <c r="M1402" s="26"/>
      <c r="N1402" s="31"/>
    </row>
    <row r="1403" spans="1:14" x14ac:dyDescent="0.35">
      <c r="A1403" s="32" t="s">
        <v>27</v>
      </c>
      <c r="B1403" s="26" t="s">
        <v>71</v>
      </c>
      <c r="C1403" s="27">
        <v>46141</v>
      </c>
      <c r="D1403" s="28">
        <v>116.735</v>
      </c>
      <c r="E1403" s="28">
        <v>42.83</v>
      </c>
      <c r="F1403" s="26"/>
      <c r="G1403" s="26" t="s">
        <v>13</v>
      </c>
      <c r="H1403" s="26" t="s">
        <v>72</v>
      </c>
      <c r="I1403" s="26" t="s">
        <v>73</v>
      </c>
      <c r="J1403" s="29">
        <f t="shared" si="21"/>
        <v>4999.7600499999999</v>
      </c>
      <c r="K1403" s="30" t="s">
        <v>16</v>
      </c>
      <c r="L1403" s="26"/>
      <c r="M1403" s="26"/>
      <c r="N1403" s="31"/>
    </row>
    <row r="1404" spans="1:14" x14ac:dyDescent="0.35">
      <c r="A1404" s="32" t="s">
        <v>37</v>
      </c>
      <c r="B1404" s="26" t="s">
        <v>98</v>
      </c>
      <c r="C1404" s="27">
        <v>46141</v>
      </c>
      <c r="D1404" s="28">
        <v>1040.25</v>
      </c>
      <c r="E1404" s="28">
        <v>9.5558999999999994</v>
      </c>
      <c r="F1404" s="26">
        <v>52164519656</v>
      </c>
      <c r="G1404" s="26" t="s">
        <v>38</v>
      </c>
      <c r="H1404" s="26" t="s">
        <v>106</v>
      </c>
      <c r="I1404" s="26" t="s">
        <v>101</v>
      </c>
      <c r="J1404" s="29">
        <f t="shared" si="21"/>
        <v>9940.5249750000003</v>
      </c>
      <c r="K1404" s="30" t="s">
        <v>16</v>
      </c>
      <c r="L1404" s="26"/>
      <c r="M1404" s="26"/>
      <c r="N1404" s="31"/>
    </row>
    <row r="1405" spans="1:14" x14ac:dyDescent="0.35">
      <c r="A1405" s="32" t="s">
        <v>24</v>
      </c>
      <c r="B1405" s="26" t="s">
        <v>98</v>
      </c>
      <c r="C1405" s="27">
        <v>46141</v>
      </c>
      <c r="D1405" s="28">
        <v>5276.1620000000003</v>
      </c>
      <c r="E1405" s="28">
        <v>9.5558999999999994</v>
      </c>
      <c r="F1405" s="26">
        <v>52164518494</v>
      </c>
      <c r="G1405" s="26" t="s">
        <v>13</v>
      </c>
      <c r="H1405" s="26" t="s">
        <v>104</v>
      </c>
      <c r="I1405" s="26" t="s">
        <v>101</v>
      </c>
      <c r="J1405" s="29">
        <f t="shared" si="21"/>
        <v>50418.476455800002</v>
      </c>
      <c r="K1405" s="30" t="s">
        <v>16</v>
      </c>
      <c r="L1405" s="26"/>
      <c r="M1405" s="26"/>
      <c r="N1405" s="31"/>
    </row>
    <row r="1406" spans="1:14" x14ac:dyDescent="0.35">
      <c r="A1406" s="32" t="s">
        <v>24</v>
      </c>
      <c r="B1406" s="26" t="s">
        <v>25</v>
      </c>
      <c r="C1406" s="27">
        <v>46141</v>
      </c>
      <c r="D1406" s="28">
        <v>551.60900000000004</v>
      </c>
      <c r="E1406" s="28">
        <v>91.402600000000007</v>
      </c>
      <c r="F1406" s="26">
        <v>52164518064</v>
      </c>
      <c r="G1406" s="26" t="s">
        <v>13</v>
      </c>
      <c r="H1406" s="26" t="s">
        <v>104</v>
      </c>
      <c r="I1406" s="26" t="s">
        <v>26</v>
      </c>
      <c r="J1406" s="29">
        <f t="shared" si="21"/>
        <v>50418.496783400005</v>
      </c>
      <c r="K1406" s="30" t="s">
        <v>16</v>
      </c>
      <c r="L1406" s="26"/>
      <c r="M1406" s="26"/>
      <c r="N1406" s="31"/>
    </row>
    <row r="1407" spans="1:14" x14ac:dyDescent="0.35">
      <c r="A1407" s="16" t="s">
        <v>64</v>
      </c>
      <c r="B1407" s="13" t="s">
        <v>54</v>
      </c>
      <c r="C1407" s="27">
        <v>44603</v>
      </c>
      <c r="D1407" s="8">
        <v>74.168999999999997</v>
      </c>
      <c r="E1407" s="28">
        <v>67.41</v>
      </c>
      <c r="F1407" s="26"/>
      <c r="G1407" s="13" t="s">
        <v>31</v>
      </c>
      <c r="H1407" s="13"/>
      <c r="I1407" s="13" t="s">
        <v>55</v>
      </c>
      <c r="J1407" s="17">
        <f t="shared" si="21"/>
        <v>4999.7322899999999</v>
      </c>
      <c r="K1407" s="15" t="s">
        <v>32</v>
      </c>
      <c r="L1407" s="26"/>
      <c r="M1407" s="26"/>
      <c r="N1407" s="31"/>
    </row>
    <row r="1408" spans="1:14" x14ac:dyDescent="0.35">
      <c r="A1408" s="16" t="s">
        <v>64</v>
      </c>
      <c r="B1408" s="13" t="s">
        <v>54</v>
      </c>
      <c r="C1408" s="27">
        <v>44614</v>
      </c>
      <c r="D1408" s="8">
        <v>38.799999999999997</v>
      </c>
      <c r="E1408" s="28">
        <v>64.430000000000007</v>
      </c>
      <c r="F1408" s="26"/>
      <c r="G1408" s="13" t="s">
        <v>31</v>
      </c>
      <c r="H1408" s="13"/>
      <c r="I1408" s="13" t="s">
        <v>55</v>
      </c>
      <c r="J1408" s="17">
        <f t="shared" si="21"/>
        <v>2499.884</v>
      </c>
      <c r="K1408" s="15" t="s">
        <v>32</v>
      </c>
      <c r="L1408" s="26"/>
      <c r="M1408" s="26"/>
      <c r="N1408" s="31"/>
    </row>
    <row r="1409" spans="1:14" x14ac:dyDescent="0.35">
      <c r="A1409" s="16" t="s">
        <v>64</v>
      </c>
      <c r="B1409" s="13" t="s">
        <v>54</v>
      </c>
      <c r="C1409" s="27">
        <v>44622</v>
      </c>
      <c r="D1409" s="28">
        <v>30.838999999999999</v>
      </c>
      <c r="E1409" s="28">
        <v>64.849999999999994</v>
      </c>
      <c r="F1409" s="26"/>
      <c r="G1409" s="13" t="s">
        <v>31</v>
      </c>
      <c r="H1409" s="13"/>
      <c r="I1409" s="13" t="s">
        <v>55</v>
      </c>
      <c r="J1409" s="17">
        <f t="shared" si="21"/>
        <v>1999.9091499999997</v>
      </c>
      <c r="K1409" s="15" t="s">
        <v>32</v>
      </c>
      <c r="L1409" s="26"/>
      <c r="M1409" s="26"/>
      <c r="N1409" s="31"/>
    </row>
    <row r="1410" spans="1:14" x14ac:dyDescent="0.35">
      <c r="A1410" s="16" t="s">
        <v>64</v>
      </c>
      <c r="B1410" s="13" t="s">
        <v>54</v>
      </c>
      <c r="C1410" s="27">
        <v>44623</v>
      </c>
      <c r="D1410" s="28">
        <v>23.131</v>
      </c>
      <c r="E1410" s="28">
        <v>65.06</v>
      </c>
      <c r="F1410" s="26"/>
      <c r="G1410" s="13" t="s">
        <v>31</v>
      </c>
      <c r="H1410" s="13"/>
      <c r="I1410" s="13" t="s">
        <v>55</v>
      </c>
      <c r="J1410" s="17">
        <f t="shared" ref="J1410" si="22">D1410*E1410</f>
        <v>1504.9028600000001</v>
      </c>
      <c r="K1410" s="15" t="s">
        <v>32</v>
      </c>
      <c r="L1410" s="26"/>
      <c r="M1410" s="26"/>
      <c r="N1410" s="31"/>
    </row>
    <row r="1411" spans="1:14" x14ac:dyDescent="0.35">
      <c r="A1411" s="32"/>
      <c r="B1411" s="26"/>
      <c r="C1411" s="27"/>
      <c r="D1411" s="28"/>
      <c r="E1411" s="28"/>
      <c r="F1411" s="26"/>
      <c r="G1411" s="26"/>
      <c r="H1411" s="26"/>
      <c r="I1411" s="26"/>
      <c r="J1411" s="29"/>
      <c r="K1411" s="30"/>
      <c r="L1411" s="26"/>
      <c r="M1411" s="26"/>
      <c r="N1411" s="31"/>
    </row>
    <row r="1412" spans="1:14" x14ac:dyDescent="0.35">
      <c r="A1412" s="32"/>
      <c r="B1412" s="26"/>
      <c r="C1412" s="27"/>
      <c r="D1412" s="28"/>
      <c r="E1412" s="28"/>
      <c r="F1412" s="26"/>
      <c r="G1412" s="26"/>
      <c r="H1412" s="26"/>
      <c r="I1412" s="26"/>
      <c r="J1412" s="29"/>
      <c r="K1412" s="30"/>
      <c r="L1412" s="26"/>
      <c r="M1412" s="26"/>
      <c r="N1412" s="31"/>
    </row>
    <row r="1413" spans="1:14" x14ac:dyDescent="0.35">
      <c r="A1413" s="32"/>
      <c r="B1413" s="26"/>
      <c r="C1413" s="27"/>
      <c r="D1413" s="28"/>
      <c r="E1413" s="28"/>
      <c r="F1413" s="26"/>
      <c r="G1413" s="26"/>
      <c r="H1413" s="26"/>
      <c r="I1413" s="26"/>
      <c r="J1413" s="29"/>
      <c r="K1413" s="30"/>
      <c r="L1413" s="26"/>
      <c r="M1413" s="26"/>
      <c r="N1413" s="31"/>
    </row>
    <row r="1414" spans="1:14" x14ac:dyDescent="0.35">
      <c r="A1414" s="32"/>
      <c r="B1414" s="26"/>
      <c r="C1414" s="27"/>
      <c r="D1414" s="28"/>
      <c r="E1414" s="28"/>
      <c r="F1414" s="26"/>
      <c r="G1414" s="26"/>
      <c r="H1414" s="26"/>
      <c r="I1414" s="26"/>
      <c r="J1414" s="29"/>
      <c r="K1414" s="30"/>
      <c r="L1414" s="26"/>
      <c r="M1414" s="26"/>
      <c r="N1414" s="31"/>
    </row>
    <row r="1415" spans="1:14" x14ac:dyDescent="0.35">
      <c r="A1415" s="32"/>
      <c r="B1415" s="26"/>
      <c r="C1415" s="27"/>
      <c r="D1415" s="28"/>
      <c r="E1415" s="28"/>
      <c r="F1415" s="26"/>
      <c r="G1415" s="26"/>
      <c r="H1415" s="26"/>
      <c r="I1415" s="26"/>
      <c r="J1415" s="29"/>
      <c r="K1415" s="30"/>
      <c r="L1415" s="26"/>
      <c r="M1415" s="26"/>
      <c r="N1415" s="31"/>
    </row>
    <row r="1416" spans="1:14" x14ac:dyDescent="0.35">
      <c r="A1416" s="32"/>
      <c r="B1416" s="26"/>
      <c r="C1416" s="27"/>
      <c r="D1416" s="28"/>
      <c r="E1416" s="28"/>
      <c r="F1416" s="26"/>
      <c r="G1416" s="26"/>
      <c r="H1416" s="26"/>
      <c r="I1416" s="26"/>
      <c r="J1416" s="29"/>
      <c r="K1416" s="30"/>
      <c r="L1416" s="26"/>
      <c r="M1416" s="26"/>
      <c r="N1416" s="31"/>
    </row>
    <row r="1417" spans="1:14" x14ac:dyDescent="0.35">
      <c r="A1417" s="32"/>
      <c r="B1417" s="26"/>
      <c r="C1417" s="27"/>
      <c r="D1417" s="28"/>
      <c r="E1417" s="28"/>
      <c r="F1417" s="26"/>
      <c r="G1417" s="26"/>
      <c r="H1417" s="26"/>
      <c r="I1417" s="26"/>
      <c r="J1417" s="29"/>
      <c r="K1417" s="30"/>
      <c r="L1417" s="26"/>
      <c r="M1417" s="26"/>
      <c r="N1417" s="31"/>
    </row>
    <row r="1418" spans="1:14" x14ac:dyDescent="0.35">
      <c r="A1418" s="32"/>
      <c r="B1418" s="26"/>
      <c r="C1418" s="27"/>
      <c r="D1418" s="28"/>
      <c r="E1418" s="28"/>
      <c r="F1418" s="26"/>
      <c r="G1418" s="26"/>
      <c r="H1418" s="26"/>
      <c r="I1418" s="26"/>
      <c r="J1418" s="29"/>
      <c r="K1418" s="30"/>
      <c r="L1418" s="26"/>
      <c r="M1418" s="26"/>
      <c r="N1418" s="31"/>
    </row>
    <row r="1419" spans="1:14" x14ac:dyDescent="0.35">
      <c r="A1419" s="32"/>
      <c r="B1419" s="26"/>
      <c r="C1419" s="27"/>
      <c r="D1419" s="28"/>
      <c r="E1419" s="28"/>
      <c r="F1419" s="26"/>
      <c r="G1419" s="26"/>
      <c r="H1419" s="26"/>
      <c r="I1419" s="26"/>
      <c r="J1419" s="29"/>
      <c r="K1419" s="30"/>
      <c r="L1419" s="26"/>
      <c r="M1419" s="26"/>
      <c r="N1419" s="31"/>
    </row>
    <row r="1420" spans="1:14" x14ac:dyDescent="0.35">
      <c r="A1420" s="32"/>
      <c r="B1420" s="26"/>
      <c r="C1420" s="27"/>
      <c r="D1420" s="28"/>
      <c r="E1420" s="28"/>
      <c r="F1420" s="26"/>
      <c r="G1420" s="26"/>
      <c r="H1420" s="26"/>
      <c r="I1420" s="26"/>
      <c r="J1420" s="29"/>
      <c r="K1420" s="30"/>
      <c r="L1420" s="26"/>
      <c r="M1420" s="26"/>
      <c r="N1420" s="31"/>
    </row>
    <row r="1421" spans="1:14" x14ac:dyDescent="0.35">
      <c r="A1421" s="32"/>
      <c r="B1421" s="26"/>
      <c r="C1421" s="27"/>
      <c r="D1421" s="28"/>
      <c r="E1421" s="28"/>
      <c r="F1421" s="26"/>
      <c r="G1421" s="26"/>
      <c r="H1421" s="26"/>
      <c r="I1421" s="26"/>
      <c r="J1421" s="29"/>
      <c r="K1421" s="30"/>
      <c r="L1421" s="26"/>
      <c r="M1421" s="26"/>
      <c r="N1421" s="31"/>
    </row>
    <row r="1422" spans="1:14" ht="15" thickBot="1" x14ac:dyDescent="0.4">
      <c r="A1422" s="32"/>
      <c r="B1422" s="26"/>
      <c r="C1422" s="27"/>
      <c r="D1422" s="28"/>
      <c r="E1422" s="28"/>
      <c r="F1422" s="26"/>
      <c r="G1422" s="26"/>
      <c r="H1422" s="26"/>
      <c r="I1422" s="26"/>
      <c r="J1422" s="29"/>
      <c r="K1422" s="30"/>
      <c r="L1422" s="26"/>
      <c r="M1422" s="26"/>
      <c r="N1422" s="31"/>
    </row>
    <row r="1423" spans="1:14" ht="16.5" thickBot="1" x14ac:dyDescent="0.45">
      <c r="A1423" s="33"/>
      <c r="B1423" s="34"/>
      <c r="C1423" s="35"/>
      <c r="D1423" s="36">
        <f>SUBTOTAL(9,D2:D1422)</f>
        <v>425762.65440421336</v>
      </c>
      <c r="E1423" s="36">
        <f>J1423/D1423</f>
        <v>59.916199850509756</v>
      </c>
      <c r="F1423" s="34"/>
      <c r="G1423" s="34"/>
      <c r="H1423" s="34"/>
      <c r="I1423" s="34"/>
      <c r="J1423" s="37">
        <f>SUBTOTAL(9,J2:J1422)</f>
        <v>25510080.290166367</v>
      </c>
      <c r="K1423" s="38"/>
      <c r="L1423" s="34"/>
      <c r="M1423" s="34"/>
      <c r="N1423" s="39"/>
    </row>
  </sheetData>
  <autoFilter ref="A1:N1410" xr:uid="{F3626F07-4C79-4954-9475-BFBFDD9584D6}">
    <sortState xmlns:xlrd2="http://schemas.microsoft.com/office/spreadsheetml/2017/richdata2" ref="A2:N1406">
      <sortCondition ref="C1:C1406"/>
    </sortState>
  </autoFilter>
  <pageMargins left="0.7" right="0.7" top="0.75" bottom="0.75" header="0.3" footer="0.3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AB14-A3F6-409F-89D5-7A3CB0F368C7}">
  <dimension ref="A1:C18"/>
  <sheetViews>
    <sheetView workbookViewId="0">
      <selection activeCell="G19" sqref="G19"/>
    </sheetView>
  </sheetViews>
  <sheetFormatPr defaultRowHeight="14.5" x14ac:dyDescent="0.35"/>
  <cols>
    <col min="1" max="1" width="57.26953125" bestFit="1" customWidth="1"/>
    <col min="2" max="2" width="14.453125" customWidth="1"/>
    <col min="3" max="3" width="16" customWidth="1"/>
  </cols>
  <sheetData>
    <row r="1" spans="1:3" ht="15" thickBot="1" x14ac:dyDescent="0.4">
      <c r="A1" s="1" t="s">
        <v>8</v>
      </c>
      <c r="B1" s="2" t="s">
        <v>110</v>
      </c>
      <c r="C1" s="2" t="s">
        <v>111</v>
      </c>
    </row>
    <row r="2" spans="1:3" x14ac:dyDescent="0.35">
      <c r="A2" t="s">
        <v>55</v>
      </c>
      <c r="B2" t="s">
        <v>112</v>
      </c>
      <c r="C2">
        <v>122.8</v>
      </c>
    </row>
    <row r="3" spans="1:3" x14ac:dyDescent="0.35">
      <c r="A3" t="s">
        <v>30</v>
      </c>
      <c r="B3" t="s">
        <v>112</v>
      </c>
      <c r="C3">
        <v>281.16000000000003</v>
      </c>
    </row>
    <row r="4" spans="1:3" x14ac:dyDescent="0.35">
      <c r="A4" t="s">
        <v>73</v>
      </c>
      <c r="B4" t="s">
        <v>112</v>
      </c>
      <c r="C4">
        <v>42.5</v>
      </c>
    </row>
    <row r="5" spans="1:3" x14ac:dyDescent="0.35">
      <c r="A5" t="s">
        <v>57</v>
      </c>
      <c r="B5" t="s">
        <v>112</v>
      </c>
      <c r="C5">
        <v>18.940000000000001</v>
      </c>
    </row>
    <row r="6" spans="1:3" x14ac:dyDescent="0.35">
      <c r="A6" t="s">
        <v>97</v>
      </c>
      <c r="B6" t="s">
        <v>112</v>
      </c>
      <c r="C6">
        <v>46.558300000000003</v>
      </c>
    </row>
    <row r="7" spans="1:3" x14ac:dyDescent="0.35">
      <c r="A7" t="s">
        <v>92</v>
      </c>
      <c r="B7" t="s">
        <v>112</v>
      </c>
      <c r="C7">
        <v>150.667</v>
      </c>
    </row>
    <row r="8" spans="1:3" x14ac:dyDescent="0.35">
      <c r="A8" t="s">
        <v>52</v>
      </c>
      <c r="B8" t="s">
        <v>112</v>
      </c>
      <c r="C8">
        <v>395.08499999999998</v>
      </c>
    </row>
    <row r="9" spans="1:3" x14ac:dyDescent="0.35">
      <c r="A9" t="s">
        <v>63</v>
      </c>
      <c r="B9" t="s">
        <v>112</v>
      </c>
      <c r="C9">
        <v>54.841000000000001</v>
      </c>
    </row>
    <row r="10" spans="1:3" x14ac:dyDescent="0.35">
      <c r="A10" t="s">
        <v>41</v>
      </c>
      <c r="B10" t="s">
        <v>112</v>
      </c>
      <c r="C10">
        <v>169.755</v>
      </c>
    </row>
    <row r="11" spans="1:3" x14ac:dyDescent="0.35">
      <c r="A11" t="s">
        <v>19</v>
      </c>
      <c r="B11" t="s">
        <v>112</v>
      </c>
      <c r="C11">
        <v>192.0823</v>
      </c>
    </row>
    <row r="12" spans="1:3" x14ac:dyDescent="0.35">
      <c r="A12" t="s">
        <v>76</v>
      </c>
      <c r="B12" t="s">
        <v>112</v>
      </c>
      <c r="C12">
        <v>11.6988</v>
      </c>
    </row>
    <row r="13" spans="1:3" x14ac:dyDescent="0.35">
      <c r="A13" t="s">
        <v>26</v>
      </c>
      <c r="B13" t="s">
        <v>112</v>
      </c>
      <c r="C13">
        <v>91.290199999999999</v>
      </c>
    </row>
    <row r="14" spans="1:3" x14ac:dyDescent="0.35">
      <c r="A14" t="s">
        <v>101</v>
      </c>
      <c r="B14" t="s">
        <v>112</v>
      </c>
      <c r="C14">
        <v>9.4770000000000003</v>
      </c>
    </row>
    <row r="15" spans="1:3" x14ac:dyDescent="0.35">
      <c r="A15" t="s">
        <v>15</v>
      </c>
      <c r="B15" t="s">
        <v>112</v>
      </c>
      <c r="C15">
        <v>101.5677</v>
      </c>
    </row>
    <row r="16" spans="1:3" x14ac:dyDescent="0.35">
      <c r="A16" t="s">
        <v>43</v>
      </c>
      <c r="B16" t="s">
        <v>112</v>
      </c>
      <c r="C16">
        <v>193.41309999999999</v>
      </c>
    </row>
    <row r="17" spans="1:3" x14ac:dyDescent="0.35">
      <c r="A17" t="s">
        <v>23</v>
      </c>
      <c r="B17" t="s">
        <v>112</v>
      </c>
      <c r="C17">
        <v>79.692800000000005</v>
      </c>
    </row>
    <row r="18" spans="1:3" x14ac:dyDescent="0.35">
      <c r="A18" t="s">
        <v>36</v>
      </c>
      <c r="B18" t="s">
        <v>112</v>
      </c>
      <c r="C18">
        <v>204.75110000000001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MFLogs</vt:lpstr>
      <vt:lpstr>Latest_NAV</vt:lpstr>
    </vt:vector>
  </TitlesOfParts>
  <Company>ABN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Shaw</dc:creator>
  <cp:lastModifiedBy>Deepak Shaw</cp:lastModifiedBy>
  <dcterms:created xsi:type="dcterms:W3CDTF">2026-04-30T11:45:12Z</dcterms:created>
  <dcterms:modified xsi:type="dcterms:W3CDTF">2026-05-01T05:04:03Z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6ebff9-a8cf-49ed-9496-b40e66272a66_Enabled">
    <vt:lpwstr>true</vt:lpwstr>
  </property>
  <property fmtid="{D5CDD505-2E9C-101B-9397-08002B2CF9AE}" pid="3" name="MSIP_Label_fd6ebff9-a8cf-49ed-9496-b40e66272a66_SetDate">
    <vt:lpwstr>2026-04-30T11:47:04Z</vt:lpwstr>
  </property>
  <property fmtid="{D5CDD505-2E9C-101B-9397-08002B2CF9AE}" pid="4" name="MSIP_Label_fd6ebff9-a8cf-49ed-9496-b40e66272a66_Method">
    <vt:lpwstr>Standard</vt:lpwstr>
  </property>
  <property fmtid="{D5CDD505-2E9C-101B-9397-08002B2CF9AE}" pid="5" name="MSIP_Label_fd6ebff9-a8cf-49ed-9496-b40e66272a66_Name">
    <vt:lpwstr>Internal use only</vt:lpwstr>
  </property>
  <property fmtid="{D5CDD505-2E9C-101B-9397-08002B2CF9AE}" pid="6" name="MSIP_Label_fd6ebff9-a8cf-49ed-9496-b40e66272a66_SiteId">
    <vt:lpwstr>6ef18f0a-366f-40d0-83ee-3b92abc580c1</vt:lpwstr>
  </property>
  <property fmtid="{D5CDD505-2E9C-101B-9397-08002B2CF9AE}" pid="7" name="MSIP_Label_fd6ebff9-a8cf-49ed-9496-b40e66272a66_ActionId">
    <vt:lpwstr>1bfc311d-d827-42fe-bae3-fd2bee240d69</vt:lpwstr>
  </property>
  <property fmtid="{D5CDD505-2E9C-101B-9397-08002B2CF9AE}" pid="8" name="MSIP_Label_fd6ebff9-a8cf-49ed-9496-b40e66272a66_ContentBits">
    <vt:lpwstr>2</vt:lpwstr>
  </property>
  <property fmtid="{D5CDD505-2E9C-101B-9397-08002B2CF9AE}" pid="9" name="MSIP_Label_fd6ebff9-a8cf-49ed-9496-b40e66272a66_Tag">
    <vt:lpwstr>10, 3, 0, 1</vt:lpwstr>
  </property>
</Properties>
</file>